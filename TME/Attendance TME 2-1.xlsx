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ttendance\TME\"/>
    </mc:Choice>
  </mc:AlternateContent>
  <xr:revisionPtr revIDLastSave="0" documentId="13_ncr:1_{B0B55401-5C3B-492D-BF99-61D8ACD03F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E 2-1" sheetId="2" r:id="rId1"/>
  </sheets>
  <definedNames>
    <definedName name="_xlnm._FilterDatabase" localSheetId="0" hidden="1">'TME 2-1'!$A$3:$Y$31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 a="1"/>
  <c r="E5" i="2" s="1"/>
  <c r="E6" i="2" a="1"/>
  <c r="E6" i="2" s="1"/>
  <c r="E7" i="2" a="1"/>
  <c r="E7" i="2" s="1"/>
  <c r="E8" i="2" a="1"/>
  <c r="E8" i="2" s="1"/>
  <c r="E9" i="2" a="1"/>
  <c r="E9" i="2"/>
  <c r="E10" i="2" a="1"/>
  <c r="E10" i="2"/>
  <c r="E11" i="2" a="1"/>
  <c r="E11" i="2"/>
  <c r="E12" i="2" a="1"/>
  <c r="E12" i="2" s="1"/>
  <c r="E13" i="2" a="1"/>
  <c r="E13" i="2" s="1"/>
  <c r="E14" i="2" a="1"/>
  <c r="E14" i="2" s="1"/>
  <c r="E15" i="2" a="1"/>
  <c r="E15" i="2"/>
  <c r="E16" i="2" a="1"/>
  <c r="E16" i="2" s="1"/>
  <c r="E17" i="2" a="1"/>
  <c r="E17" i="2"/>
  <c r="E18" i="2" a="1"/>
  <c r="E18" i="2" s="1"/>
  <c r="E19" i="2" a="1"/>
  <c r="E19" i="2"/>
  <c r="E20" i="2" a="1"/>
  <c r="E20" i="2" s="1"/>
  <c r="E21" i="2" a="1"/>
  <c r="E21" i="2"/>
  <c r="E22" i="2" a="1"/>
  <c r="E22" i="2" s="1"/>
  <c r="E23" i="2" a="1"/>
  <c r="E23" i="2"/>
  <c r="E24" i="2" a="1"/>
  <c r="E24" i="2" s="1"/>
  <c r="E25" i="2" a="1"/>
  <c r="E25" i="2"/>
  <c r="E26" i="2" a="1"/>
  <c r="E26" i="2" s="1"/>
  <c r="E27" i="2" a="1"/>
  <c r="E27" i="2"/>
  <c r="E28" i="2" a="1"/>
  <c r="E28" i="2" s="1"/>
  <c r="E29" i="2" a="1"/>
  <c r="E29" i="2" s="1"/>
  <c r="E30" i="2" a="1"/>
  <c r="E30" i="2" s="1"/>
  <c r="E31" i="2" a="1"/>
  <c r="E31" i="2" s="1"/>
  <c r="E4" i="2" a="1"/>
  <c r="E4" i="2" s="1"/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4" i="2"/>
  <c r="K2" i="2" l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A5" i="2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B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<sst xmlns="http://schemas.openxmlformats.org/spreadsheetml/2006/main" count="149" uniqueCount="39">
  <si>
    <t>SL</t>
  </si>
  <si>
    <t>Students ID</t>
  </si>
  <si>
    <t>Students Name</t>
  </si>
  <si>
    <t>SADIA AFRIN ARPITA</t>
  </si>
  <si>
    <t>MOHAMMAD MONAEYM SHAHERIAR</t>
  </si>
  <si>
    <t>JEBA FARIHA</t>
  </si>
  <si>
    <t>ROBAYET ISLAM MAHID</t>
  </si>
  <si>
    <t>MD. ADIB AL ZIAN</t>
  </si>
  <si>
    <t>MD. MURTADA RABBY</t>
  </si>
  <si>
    <t>SHAHRIAR HOSEN PROMI</t>
  </si>
  <si>
    <t>MD. SAZIDUR RAHMAN</t>
  </si>
  <si>
    <t>DIPONGKAR RAY</t>
  </si>
  <si>
    <t>MD. HUMAUN KOBIR</t>
  </si>
  <si>
    <t>MD. JUBAYER AHMED</t>
  </si>
  <si>
    <t>MST. JANNATUL FERDOUS LUBA</t>
  </si>
  <si>
    <t>ZAFRIN NOOR</t>
  </si>
  <si>
    <t>ARITRO SAHA</t>
  </si>
  <si>
    <t>SALMAN RAHAT</t>
  </si>
  <si>
    <t>MD. ABDULLAH HARUN TAHAMID</t>
  </si>
  <si>
    <t>MEHEK SARKAR</t>
  </si>
  <si>
    <t>RABEYA AKTER LIMA</t>
  </si>
  <si>
    <t>SHABIBA AHMED</t>
  </si>
  <si>
    <t>FABIA SULTANA</t>
  </si>
  <si>
    <t>JOYIRIA SIDDIQUA</t>
  </si>
  <si>
    <t>MD. ARAFAT AHAMMAD KHAN</t>
  </si>
  <si>
    <t>MD. PARVEZ MUSAROF RAFI</t>
  </si>
  <si>
    <t>MD. TAMIM BHUIYAN</t>
  </si>
  <si>
    <t>MD.TANVIR AHMED</t>
  </si>
  <si>
    <t>PRANTO DATTA</t>
  </si>
  <si>
    <t>ZIHAD KABIR TANVIR</t>
  </si>
  <si>
    <t>MOHAMMAD AL MARJAN</t>
  </si>
  <si>
    <t>A</t>
  </si>
  <si>
    <t>P</t>
  </si>
  <si>
    <t>TME 2-1</t>
  </si>
  <si>
    <t>BATCH 51</t>
  </si>
  <si>
    <t>NOS</t>
  </si>
  <si>
    <t>NOCLS</t>
  </si>
  <si>
    <t>Attendance%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</si>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</sst>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11"/>
      <color rgb="FF9C0006"/>
      <name val="Calibri"/>
      <family val="2"/>
      <scheme val="minor"/>
    </font>
    <font>
      <sz val="12"/>
      <color rgb="FF9C0006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3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zoomScale="99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10" sqref="F10"/>
    </sheetView>
  </sheetViews>
  <sheetFormatPr defaultRowHeight="19.2" x14ac:dyDescent="0.3"/>
  <cols>
    <col min="1" max="1" width="8.109375" style="2" bestFit="1" customWidth="1"/>
    <col min="2" max="2" width="18.109375" style="2" bestFit="1" customWidth="1"/>
    <col min="3" max="3" width="39" style="2" bestFit="1" customWidth="1"/>
    <col min="4" max="4" width="19.44140625" style="2" bestFit="1" customWidth="1"/>
    <col min="5" max="5" width="1" style="2" customWidth="1"/>
    <col min="6" max="6" width="31.88671875" style="2" bestFit="1" customWidth="1"/>
    <col min="7" max="7" width="34.109375" style="2" bestFit="1" customWidth="1"/>
    <col min="8" max="9" width="31.88671875" style="2" bestFit="1" customWidth="1"/>
    <col min="10" max="25" width="25.77734375" style="2" customWidth="1"/>
    <col min="26" max="16384" width="8.88671875" style="2"/>
  </cols>
  <sheetData>
    <row r="1" spans="1:25" x14ac:dyDescent="0.3">
      <c r="A1" s="11" t="s">
        <v>33</v>
      </c>
      <c r="B1" s="11"/>
      <c r="C1" s="7" t="s">
        <v>34</v>
      </c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3">
      <c r="A2" s="7" t="s">
        <v>35</v>
      </c>
      <c r="B2" s="7">
        <f>COUNT(A4:A31)</f>
        <v>28</v>
      </c>
      <c r="C2" s="7" t="s">
        <v>36</v>
      </c>
      <c r="D2" s="7"/>
      <c r="E2" s="7"/>
      <c r="F2" s="9">
        <v>1</v>
      </c>
      <c r="G2" s="9">
        <v>2</v>
      </c>
      <c r="H2" s="9">
        <v>3</v>
      </c>
      <c r="I2" s="9">
        <v>4</v>
      </c>
      <c r="J2" s="9">
        <v>5</v>
      </c>
      <c r="K2" s="9">
        <f>J2+1</f>
        <v>6</v>
      </c>
      <c r="L2" s="9">
        <f t="shared" ref="L2:Y2" si="0">K2+1</f>
        <v>7</v>
      </c>
      <c r="M2" s="9">
        <f t="shared" si="0"/>
        <v>8</v>
      </c>
      <c r="N2" s="9">
        <f t="shared" si="0"/>
        <v>9</v>
      </c>
      <c r="O2" s="9">
        <f t="shared" si="0"/>
        <v>10</v>
      </c>
      <c r="P2" s="9">
        <f t="shared" si="0"/>
        <v>11</v>
      </c>
      <c r="Q2" s="9">
        <f t="shared" si="0"/>
        <v>12</v>
      </c>
      <c r="R2" s="9">
        <f t="shared" si="0"/>
        <v>13</v>
      </c>
      <c r="S2" s="9">
        <f t="shared" si="0"/>
        <v>14</v>
      </c>
      <c r="T2" s="9">
        <f t="shared" si="0"/>
        <v>15</v>
      </c>
      <c r="U2" s="9">
        <f t="shared" si="0"/>
        <v>16</v>
      </c>
      <c r="V2" s="9">
        <f>U2+1</f>
        <v>17</v>
      </c>
      <c r="W2" s="9">
        <f t="shared" si="0"/>
        <v>18</v>
      </c>
      <c r="X2" s="9">
        <f t="shared" si="0"/>
        <v>19</v>
      </c>
      <c r="Y2" s="9">
        <f t="shared" si="0"/>
        <v>20</v>
      </c>
    </row>
    <row r="3" spans="1:25" s="6" customFormat="1" x14ac:dyDescent="0.3">
      <c r="A3" s="3" t="s">
        <v>0</v>
      </c>
      <c r="B3" s="3" t="s">
        <v>1</v>
      </c>
      <c r="C3" s="3" t="s">
        <v>2</v>
      </c>
      <c r="D3" s="3" t="s">
        <v>37</v>
      </c>
      <c r="E3" s="3" t="s">
        <v>38</v>
      </c>
      <c r="F3" s="4">
        <v>46250</v>
      </c>
      <c r="G3" s="4">
        <v>46254</v>
      </c>
      <c r="H3" s="4">
        <v>46257</v>
      </c>
      <c r="I3" s="4">
        <v>46264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3">
      <c r="A4" s="1">
        <v>1</v>
      </c>
      <c r="B4" s="1">
        <v>25011101001</v>
      </c>
      <c r="C4" s="1" t="s">
        <v>3</v>
      </c>
      <c r="D4" s="12">
        <f>COUNTIF(F4:Y4,"P")/(COUNTIF(F4:Y4,"P")+COUNTIF(F4:Y4,"A"))</f>
        <v>0.75</v>
      </c>
      <c r="E4" s="1" t="str" cm="1">
        <f t="array" ref="E4">_xlfn.IFS(D4&gt;=90%,"7.5",D4&gt;=80%,"6.5",D4&gt;=70%,"5.5",D4&gt;=60%,"4.5",D4&lt;60%,"0")</f>
        <v>5.5</v>
      </c>
      <c r="F4" s="1" t="s">
        <v>32</v>
      </c>
      <c r="G4" s="1" t="s">
        <v>32</v>
      </c>
      <c r="H4" s="1" t="s">
        <v>32</v>
      </c>
      <c r="I4" s="5" t="s">
        <v>31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10">
        <f t="shared" ref="A5:A31" si="1">A4+1</f>
        <v>2</v>
      </c>
      <c r="B5" s="1">
        <v>25011101002</v>
      </c>
      <c r="C5" s="1" t="s">
        <v>4</v>
      </c>
      <c r="D5" s="12">
        <f t="shared" ref="D5:D31" si="2">COUNTIF(F5:Y5,"P")/(COUNTIF(F5:Y5,"P")+COUNTIF(F5:Y5,"A"))</f>
        <v>1</v>
      </c>
      <c r="E5" s="1" t="str" cm="1">
        <f t="array" ref="E5">_xlfn.IFS(D5&gt;=90%,"7.5",D5&gt;=80%,"6.5",D5&gt;=70%,"5.5",D5&gt;=60%,"4.5",D5&lt;60%,"0")</f>
        <v>7.5</v>
      </c>
      <c r="F5" s="1" t="s">
        <v>32</v>
      </c>
      <c r="G5" s="1" t="s">
        <v>32</v>
      </c>
      <c r="H5" s="1" t="s">
        <v>32</v>
      </c>
      <c r="I5" s="1" t="s">
        <v>32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1">
        <f t="shared" si="1"/>
        <v>3</v>
      </c>
      <c r="B6" s="1">
        <v>25011101003</v>
      </c>
      <c r="C6" s="1" t="s">
        <v>5</v>
      </c>
      <c r="D6" s="12">
        <f t="shared" si="2"/>
        <v>1</v>
      </c>
      <c r="E6" s="1" t="str" cm="1">
        <f t="array" ref="E6">_xlfn.IFS(D6&gt;=90%,"7.5",D6&gt;=80%,"6.5",D6&gt;=70%,"5.5",D6&gt;=60%,"4.5",D6&lt;60%,"0")</f>
        <v>7.5</v>
      </c>
      <c r="F6" s="1" t="s">
        <v>32</v>
      </c>
      <c r="G6" s="1" t="s">
        <v>32</v>
      </c>
      <c r="H6" s="1" t="s">
        <v>32</v>
      </c>
      <c r="I6" s="1" t="s">
        <v>32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">
        <f t="shared" si="1"/>
        <v>4</v>
      </c>
      <c r="B7" s="1">
        <v>25011101004</v>
      </c>
      <c r="C7" s="1" t="s">
        <v>6</v>
      </c>
      <c r="D7" s="12">
        <f t="shared" si="2"/>
        <v>1</v>
      </c>
      <c r="E7" s="1" t="str" cm="1">
        <f t="array" ref="E7">_xlfn.IFS(D7&gt;=90%,"7.5",D7&gt;=80%,"6.5",D7&gt;=70%,"5.5",D7&gt;=60%,"4.5",D7&lt;60%,"0")</f>
        <v>7.5</v>
      </c>
      <c r="F7" s="1" t="s">
        <v>32</v>
      </c>
      <c r="G7" s="1" t="s">
        <v>32</v>
      </c>
      <c r="H7" s="1" t="s">
        <v>32</v>
      </c>
      <c r="I7" s="1" t="s">
        <v>32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1">
        <f t="shared" si="1"/>
        <v>5</v>
      </c>
      <c r="B8" s="1">
        <v>25011101005</v>
      </c>
      <c r="C8" s="1" t="s">
        <v>7</v>
      </c>
      <c r="D8" s="12">
        <f t="shared" si="2"/>
        <v>1</v>
      </c>
      <c r="E8" s="1" t="str" cm="1">
        <f t="array" ref="E8">_xlfn.IFS(D8&gt;=90%,"7.5",D8&gt;=80%,"6.5",D8&gt;=70%,"5.5",D8&gt;=60%,"4.5",D8&lt;60%,"0")</f>
        <v>7.5</v>
      </c>
      <c r="F8" s="1" t="s">
        <v>32</v>
      </c>
      <c r="G8" s="1" t="s">
        <v>32</v>
      </c>
      <c r="H8" s="1" t="s">
        <v>32</v>
      </c>
      <c r="I8" s="1" t="s">
        <v>32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1">
        <f t="shared" si="1"/>
        <v>6</v>
      </c>
      <c r="B9" s="1">
        <v>25011101008</v>
      </c>
      <c r="C9" s="1" t="s">
        <v>8</v>
      </c>
      <c r="D9" s="12">
        <f t="shared" si="2"/>
        <v>0.5</v>
      </c>
      <c r="E9" s="1" t="str" cm="1">
        <f t="array" ref="E9">_xlfn.IFS(D9&gt;=90%,"7.5",D9&gt;=80%,"6.5",D9&gt;=70%,"5.5",D9&gt;=60%,"4.5",D9&lt;60%,"0")</f>
        <v>0</v>
      </c>
      <c r="F9" s="1" t="s">
        <v>32</v>
      </c>
      <c r="G9" s="5" t="s">
        <v>31</v>
      </c>
      <c r="H9" s="1" t="s">
        <v>32</v>
      </c>
      <c r="I9" s="5" t="s">
        <v>31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1">
        <f t="shared" si="1"/>
        <v>7</v>
      </c>
      <c r="B10" s="1">
        <v>25011101009</v>
      </c>
      <c r="C10" s="1" t="s">
        <v>9</v>
      </c>
      <c r="D10" s="12">
        <f t="shared" si="2"/>
        <v>0.5</v>
      </c>
      <c r="E10" s="1" t="str" cm="1">
        <f t="array" ref="E10">_xlfn.IFS(D10&gt;=90%,"7.5",D10&gt;=80%,"6.5",D10&gt;=70%,"5.5",D10&gt;=60%,"4.5",D10&lt;60%,"0")</f>
        <v>0</v>
      </c>
      <c r="F10" s="5" t="s">
        <v>31</v>
      </c>
      <c r="G10" s="1" t="s">
        <v>32</v>
      </c>
      <c r="H10" s="1" t="s">
        <v>32</v>
      </c>
      <c r="I10" s="5" t="s">
        <v>31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">
        <f t="shared" si="1"/>
        <v>8</v>
      </c>
      <c r="B11" s="1">
        <v>25011101010</v>
      </c>
      <c r="C11" s="1" t="s">
        <v>10</v>
      </c>
      <c r="D11" s="12">
        <f t="shared" si="2"/>
        <v>1</v>
      </c>
      <c r="E11" s="1" t="str" cm="1">
        <f t="array" ref="E11">_xlfn.IFS(D11&gt;=90%,"7.5",D11&gt;=80%,"6.5",D11&gt;=70%,"5.5",D11&gt;=60%,"4.5",D11&lt;60%,"0")</f>
        <v>7.5</v>
      </c>
      <c r="F11" s="1" t="s">
        <v>32</v>
      </c>
      <c r="G11" s="1" t="s">
        <v>32</v>
      </c>
      <c r="H11" s="1" t="s">
        <v>32</v>
      </c>
      <c r="I11" s="1" t="s">
        <v>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1">
        <f t="shared" si="1"/>
        <v>9</v>
      </c>
      <c r="B12" s="1">
        <v>25011101011</v>
      </c>
      <c r="C12" s="1" t="s">
        <v>11</v>
      </c>
      <c r="D12" s="12">
        <f t="shared" si="2"/>
        <v>1</v>
      </c>
      <c r="E12" s="1" t="str" cm="1">
        <f t="array" ref="E12">_xlfn.IFS(D12&gt;=90%,"7.5",D12&gt;=80%,"6.5",D12&gt;=70%,"5.5",D12&gt;=60%,"4.5",D12&lt;60%,"0")</f>
        <v>7.5</v>
      </c>
      <c r="F12" s="1" t="s">
        <v>32</v>
      </c>
      <c r="G12" s="1" t="s">
        <v>32</v>
      </c>
      <c r="H12" s="1" t="s">
        <v>32</v>
      </c>
      <c r="I12" s="1" t="s">
        <v>32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">
      <c r="A13" s="1">
        <f t="shared" si="1"/>
        <v>10</v>
      </c>
      <c r="B13" s="1">
        <v>25011101012</v>
      </c>
      <c r="C13" s="1" t="s">
        <v>12</v>
      </c>
      <c r="D13" s="12">
        <f t="shared" si="2"/>
        <v>1</v>
      </c>
      <c r="E13" s="1" t="str" cm="1">
        <f t="array" ref="E13">_xlfn.IFS(D13&gt;=90%,"7.5",D13&gt;=80%,"6.5",D13&gt;=70%,"5.5",D13&gt;=60%,"4.5",D13&lt;60%,"0")</f>
        <v>7.5</v>
      </c>
      <c r="F13" s="1" t="s">
        <v>32</v>
      </c>
      <c r="G13" s="1" t="s">
        <v>32</v>
      </c>
      <c r="H13" s="1" t="s">
        <v>32</v>
      </c>
      <c r="I13" s="1" t="s">
        <v>32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1">
        <f t="shared" si="1"/>
        <v>11</v>
      </c>
      <c r="B14" s="1">
        <v>25011101013</v>
      </c>
      <c r="C14" s="1" t="s">
        <v>13</v>
      </c>
      <c r="D14" s="12">
        <f t="shared" si="2"/>
        <v>1</v>
      </c>
      <c r="E14" s="1" t="str" cm="1">
        <f t="array" ref="E14">_xlfn.IFS(D14&gt;=90%,"7.5",D14&gt;=80%,"6.5",D14&gt;=70%,"5.5",D14&gt;=60%,"4.5",D14&lt;60%,"0")</f>
        <v>7.5</v>
      </c>
      <c r="F14" s="1" t="s">
        <v>32</v>
      </c>
      <c r="G14" s="1" t="s">
        <v>32</v>
      </c>
      <c r="H14" s="1" t="s">
        <v>32</v>
      </c>
      <c r="I14" s="1" t="s">
        <v>32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1">
        <f t="shared" si="1"/>
        <v>12</v>
      </c>
      <c r="B15" s="1">
        <v>25011101014</v>
      </c>
      <c r="C15" s="1" t="s">
        <v>14</v>
      </c>
      <c r="D15" s="12">
        <f t="shared" si="2"/>
        <v>0.5</v>
      </c>
      <c r="E15" s="1" t="str" cm="1">
        <f t="array" ref="E15">_xlfn.IFS(D15&gt;=90%,"7.5",D15&gt;=80%,"6.5",D15&gt;=70%,"5.5",D15&gt;=60%,"4.5",D15&lt;60%,"0")</f>
        <v>0</v>
      </c>
      <c r="F15" s="5" t="s">
        <v>31</v>
      </c>
      <c r="G15" s="1" t="s">
        <v>32</v>
      </c>
      <c r="H15" s="5" t="s">
        <v>31</v>
      </c>
      <c r="I15" s="1" t="s">
        <v>32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1">
        <f t="shared" si="1"/>
        <v>13</v>
      </c>
      <c r="B16" s="1">
        <v>25011101015</v>
      </c>
      <c r="C16" s="1" t="s">
        <v>15</v>
      </c>
      <c r="D16" s="12">
        <f t="shared" si="2"/>
        <v>1</v>
      </c>
      <c r="E16" s="1" t="str" cm="1">
        <f t="array" ref="E16">_xlfn.IFS(D16&gt;=90%,"7.5",D16&gt;=80%,"6.5",D16&gt;=70%,"5.5",D16&gt;=60%,"4.5",D16&lt;60%,"0")</f>
        <v>7.5</v>
      </c>
      <c r="F16" s="1" t="s">
        <v>32</v>
      </c>
      <c r="G16" s="1" t="s">
        <v>32</v>
      </c>
      <c r="H16" s="1" t="s">
        <v>32</v>
      </c>
      <c r="I16" s="1" t="s">
        <v>32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1">
        <f t="shared" si="1"/>
        <v>14</v>
      </c>
      <c r="B17" s="1">
        <v>25011101016</v>
      </c>
      <c r="C17" s="1" t="s">
        <v>16</v>
      </c>
      <c r="D17" s="12">
        <f t="shared" si="2"/>
        <v>0.75</v>
      </c>
      <c r="E17" s="1" t="str" cm="1">
        <f t="array" ref="E17">_xlfn.IFS(D17&gt;=90%,"7.5",D17&gt;=80%,"6.5",D17&gt;=70%,"5.5",D17&gt;=60%,"4.5",D17&lt;60%,"0")</f>
        <v>5.5</v>
      </c>
      <c r="F17" s="1" t="s">
        <v>32</v>
      </c>
      <c r="G17" s="1" t="s">
        <v>32</v>
      </c>
      <c r="H17" s="5" t="s">
        <v>31</v>
      </c>
      <c r="I17" s="1" t="s">
        <v>32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1">
        <f t="shared" si="1"/>
        <v>15</v>
      </c>
      <c r="B18" s="1">
        <v>25011101017</v>
      </c>
      <c r="C18" s="1" t="s">
        <v>17</v>
      </c>
      <c r="D18" s="12">
        <f t="shared" si="2"/>
        <v>0.25</v>
      </c>
      <c r="E18" s="1" t="str" cm="1">
        <f t="array" ref="E18">_xlfn.IFS(D18&gt;=90%,"7.5",D18&gt;=80%,"6.5",D18&gt;=70%,"5.5",D18&gt;=60%,"4.5",D18&lt;60%,"0")</f>
        <v>0</v>
      </c>
      <c r="F18" s="1" t="s">
        <v>32</v>
      </c>
      <c r="G18" s="5" t="s">
        <v>31</v>
      </c>
      <c r="H18" s="5" t="s">
        <v>31</v>
      </c>
      <c r="I18" s="5" t="s">
        <v>31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">
        <f t="shared" si="1"/>
        <v>16</v>
      </c>
      <c r="B19" s="1">
        <v>25011101018</v>
      </c>
      <c r="C19" s="1" t="s">
        <v>18</v>
      </c>
      <c r="D19" s="12">
        <f t="shared" si="2"/>
        <v>0.5</v>
      </c>
      <c r="E19" s="1" t="str" cm="1">
        <f t="array" ref="E19">_xlfn.IFS(D19&gt;=90%,"7.5",D19&gt;=80%,"6.5",D19&gt;=70%,"5.5",D19&gt;=60%,"4.5",D19&lt;60%,"0")</f>
        <v>0</v>
      </c>
      <c r="F19" s="5" t="s">
        <v>31</v>
      </c>
      <c r="G19" s="5" t="s">
        <v>31</v>
      </c>
      <c r="H19" s="1" t="s">
        <v>32</v>
      </c>
      <c r="I19" s="1" t="s">
        <v>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1">
        <f t="shared" si="1"/>
        <v>17</v>
      </c>
      <c r="B20" s="1">
        <v>25011101019</v>
      </c>
      <c r="C20" s="1" t="s">
        <v>19</v>
      </c>
      <c r="D20" s="12">
        <f t="shared" si="2"/>
        <v>1</v>
      </c>
      <c r="E20" s="1" t="str" cm="1">
        <f t="array" ref="E20">_xlfn.IFS(D20&gt;=90%,"7.5",D20&gt;=80%,"6.5",D20&gt;=70%,"5.5",D20&gt;=60%,"4.5",D20&lt;60%,"0")</f>
        <v>7.5</v>
      </c>
      <c r="F20" s="1" t="s">
        <v>32</v>
      </c>
      <c r="G20" s="1" t="s">
        <v>32</v>
      </c>
      <c r="H20" s="1" t="s">
        <v>32</v>
      </c>
      <c r="I20" s="1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">
      <c r="A21" s="1">
        <f t="shared" si="1"/>
        <v>18</v>
      </c>
      <c r="B21" s="1">
        <v>25011101020</v>
      </c>
      <c r="C21" s="1" t="s">
        <v>20</v>
      </c>
      <c r="D21" s="12">
        <f t="shared" si="2"/>
        <v>1</v>
      </c>
      <c r="E21" s="1" t="str" cm="1">
        <f t="array" ref="E21">_xlfn.IFS(D21&gt;=90%,"7.5",D21&gt;=80%,"6.5",D21&gt;=70%,"5.5",D21&gt;=60%,"4.5",D21&lt;60%,"0")</f>
        <v>7.5</v>
      </c>
      <c r="F21" s="1" t="s">
        <v>32</v>
      </c>
      <c r="G21" s="1" t="s">
        <v>32</v>
      </c>
      <c r="H21" s="1" t="s">
        <v>32</v>
      </c>
      <c r="I21" s="1" t="s">
        <v>32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">
      <c r="A22" s="1">
        <f t="shared" si="1"/>
        <v>19</v>
      </c>
      <c r="B22" s="1">
        <v>25011101021</v>
      </c>
      <c r="C22" s="1" t="s">
        <v>21</v>
      </c>
      <c r="D22" s="12">
        <f t="shared" si="2"/>
        <v>1</v>
      </c>
      <c r="E22" s="1" t="str" cm="1">
        <f t="array" ref="E22">_xlfn.IFS(D22&gt;=90%,"7.5",D22&gt;=80%,"6.5",D22&gt;=70%,"5.5",D22&gt;=60%,"4.5",D22&lt;60%,"0")</f>
        <v>7.5</v>
      </c>
      <c r="F22" s="1" t="s">
        <v>32</v>
      </c>
      <c r="G22" s="1" t="s">
        <v>32</v>
      </c>
      <c r="H22" s="1" t="s">
        <v>32</v>
      </c>
      <c r="I22" s="1" t="s">
        <v>32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">
      <c r="A23" s="1">
        <f t="shared" si="1"/>
        <v>20</v>
      </c>
      <c r="B23" s="1">
        <v>25011101022</v>
      </c>
      <c r="C23" s="1" t="s">
        <v>22</v>
      </c>
      <c r="D23" s="12">
        <f t="shared" si="2"/>
        <v>1</v>
      </c>
      <c r="E23" s="1" t="str" cm="1">
        <f t="array" ref="E23">_xlfn.IFS(D23&gt;=90%,"7.5",D23&gt;=80%,"6.5",D23&gt;=70%,"5.5",D23&gt;=60%,"4.5",D23&lt;60%,"0")</f>
        <v>7.5</v>
      </c>
      <c r="F23" s="1" t="s">
        <v>32</v>
      </c>
      <c r="G23" s="1" t="s">
        <v>32</v>
      </c>
      <c r="H23" s="1" t="s">
        <v>32</v>
      </c>
      <c r="I23" s="1" t="s">
        <v>32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10">
        <f t="shared" si="1"/>
        <v>21</v>
      </c>
      <c r="B24" s="1">
        <v>25011101023</v>
      </c>
      <c r="C24" s="1" t="s">
        <v>23</v>
      </c>
      <c r="D24" s="12">
        <f t="shared" si="2"/>
        <v>1</v>
      </c>
      <c r="E24" s="1" t="str" cm="1">
        <f t="array" ref="E24">_xlfn.IFS(D24&gt;=90%,"7.5",D24&gt;=80%,"6.5",D24&gt;=70%,"5.5",D24&gt;=60%,"4.5",D24&lt;60%,"0")</f>
        <v>7.5</v>
      </c>
      <c r="F24" s="1" t="s">
        <v>32</v>
      </c>
      <c r="G24" s="1" t="s">
        <v>32</v>
      </c>
      <c r="H24" s="1" t="s">
        <v>32</v>
      </c>
      <c r="I24" s="1" t="s">
        <v>32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1">
        <f t="shared" si="1"/>
        <v>22</v>
      </c>
      <c r="B25" s="1">
        <v>25011101024</v>
      </c>
      <c r="C25" s="1" t="s">
        <v>24</v>
      </c>
      <c r="D25" s="12">
        <f t="shared" si="2"/>
        <v>1</v>
      </c>
      <c r="E25" s="1" t="str" cm="1">
        <f t="array" ref="E25">_xlfn.IFS(D25&gt;=90%,"7.5",D25&gt;=80%,"6.5",D25&gt;=70%,"5.5",D25&gt;=60%,"4.5",D25&lt;60%,"0")</f>
        <v>7.5</v>
      </c>
      <c r="F25" s="1" t="s">
        <v>32</v>
      </c>
      <c r="G25" s="1" t="s">
        <v>32</v>
      </c>
      <c r="H25" s="1" t="s">
        <v>32</v>
      </c>
      <c r="I25" s="1" t="s">
        <v>32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>
        <f t="shared" si="1"/>
        <v>23</v>
      </c>
      <c r="B26" s="1">
        <v>25011101025</v>
      </c>
      <c r="C26" s="1" t="s">
        <v>25</v>
      </c>
      <c r="D26" s="12">
        <f t="shared" si="2"/>
        <v>0.5</v>
      </c>
      <c r="E26" s="1" t="str" cm="1">
        <f t="array" ref="E26">_xlfn.IFS(D26&gt;=90%,"7.5",D26&gt;=80%,"6.5",D26&gt;=70%,"5.5",D26&gt;=60%,"4.5",D26&lt;60%,"0")</f>
        <v>0</v>
      </c>
      <c r="F26" s="5" t="s">
        <v>31</v>
      </c>
      <c r="G26" s="1" t="s">
        <v>32</v>
      </c>
      <c r="H26" s="1" t="s">
        <v>32</v>
      </c>
      <c r="I26" s="5" t="s">
        <v>31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>
        <f t="shared" si="1"/>
        <v>24</v>
      </c>
      <c r="B27" s="1">
        <v>25011101026</v>
      </c>
      <c r="C27" s="1" t="s">
        <v>26</v>
      </c>
      <c r="D27" s="12">
        <f t="shared" si="2"/>
        <v>0.75</v>
      </c>
      <c r="E27" s="1" t="str" cm="1">
        <f t="array" ref="E27">_xlfn.IFS(D27&gt;=90%,"7.5",D27&gt;=80%,"6.5",D27&gt;=70%,"5.5",D27&gt;=60%,"4.5",D27&lt;60%,"0")</f>
        <v>5.5</v>
      </c>
      <c r="F27" s="1" t="s">
        <v>32</v>
      </c>
      <c r="G27" s="5" t="s">
        <v>31</v>
      </c>
      <c r="H27" s="1" t="s">
        <v>32</v>
      </c>
      <c r="I27" s="1" t="s">
        <v>32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1">
        <f t="shared" si="1"/>
        <v>25</v>
      </c>
      <c r="B28" s="1">
        <v>25011101027</v>
      </c>
      <c r="C28" s="1" t="s">
        <v>27</v>
      </c>
      <c r="D28" s="12">
        <f t="shared" si="2"/>
        <v>0.75</v>
      </c>
      <c r="E28" s="1" t="str" cm="1">
        <f t="array" ref="E28">_xlfn.IFS(D28&gt;=90%,"7.5",D28&gt;=80%,"6.5",D28&gt;=70%,"5.5",D28&gt;=60%,"4.5",D28&lt;60%,"0")</f>
        <v>5.5</v>
      </c>
      <c r="F28" s="5" t="s">
        <v>31</v>
      </c>
      <c r="G28" s="1" t="s">
        <v>32</v>
      </c>
      <c r="H28" s="1" t="s">
        <v>32</v>
      </c>
      <c r="I28" s="1" t="s">
        <v>32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>
        <f t="shared" si="1"/>
        <v>26</v>
      </c>
      <c r="B29" s="1">
        <v>25011101028</v>
      </c>
      <c r="C29" s="1" t="s">
        <v>28</v>
      </c>
      <c r="D29" s="12">
        <f t="shared" si="2"/>
        <v>0.75</v>
      </c>
      <c r="E29" s="1" t="str" cm="1">
        <f t="array" ref="E29">_xlfn.IFS(D29&gt;=90%,"7.5",D29&gt;=80%,"6.5",D29&gt;=70%,"5.5",D29&gt;=60%,"4.5",D29&lt;60%,"0")</f>
        <v>5.5</v>
      </c>
      <c r="F29" s="5" t="s">
        <v>31</v>
      </c>
      <c r="G29" s="1" t="s">
        <v>32</v>
      </c>
      <c r="H29" s="1" t="s">
        <v>32</v>
      </c>
      <c r="I29" s="1" t="s">
        <v>32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>
        <f t="shared" si="1"/>
        <v>27</v>
      </c>
      <c r="B30" s="1">
        <v>25011101029</v>
      </c>
      <c r="C30" s="1" t="s">
        <v>29</v>
      </c>
      <c r="D30" s="12">
        <f t="shared" si="2"/>
        <v>1</v>
      </c>
      <c r="E30" s="1" t="str" cm="1">
        <f t="array" ref="E30">_xlfn.IFS(D30&gt;=90%,"7.5",D30&gt;=80%,"6.5",D30&gt;=70%,"5.5",D30&gt;=60%,"4.5",D30&lt;60%,"0")</f>
        <v>7.5</v>
      </c>
      <c r="F30" s="1" t="s">
        <v>32</v>
      </c>
      <c r="G30" s="1" t="s">
        <v>32</v>
      </c>
      <c r="H30" s="1" t="s">
        <v>32</v>
      </c>
      <c r="I30" s="1" t="s">
        <v>32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>
        <f t="shared" si="1"/>
        <v>28</v>
      </c>
      <c r="B31" s="1">
        <v>25011101030</v>
      </c>
      <c r="C31" s="1" t="s">
        <v>30</v>
      </c>
      <c r="D31" s="12">
        <f t="shared" si="2"/>
        <v>0.5</v>
      </c>
      <c r="E31" s="1" t="str" cm="1">
        <f t="array" ref="E31">_xlfn.IFS(D31&gt;=90%,"7.5",D31&gt;=80%,"6.5",D31&gt;=70%,"5.5",D31&gt;=60%,"4.5",D31&lt;60%,"0")</f>
        <v>0</v>
      </c>
      <c r="F31" s="5" t="s">
        <v>31</v>
      </c>
      <c r="G31" s="1" t="s">
        <v>32</v>
      </c>
      <c r="H31" s="1" t="s">
        <v>32</v>
      </c>
      <c r="I31" s="5" t="s">
        <v>31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</sheetData>
  <autoFilter ref="A3:Y31" xr:uid="{00000000-0001-0000-0000-000000000000}"/>
  <mergeCells count="1">
    <mergeCell ref="A1:B1"/>
  </mergeCells>
  <conditionalFormatting sqref="D4:D31">
    <cfRule type="cellIs" dxfId="5" priority="6" operator="lessThan">
      <formula>0.8</formula>
    </cfRule>
  </conditionalFormatting>
  <conditionalFormatting sqref="D4:D31">
    <cfRule type="cellIs" dxfId="4" priority="5" operator="greaterThan">
      <formula>0.9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TME 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2026-08-30T04:28:01Z</dcterms:modified>
</cp:coreProperties>
</file>