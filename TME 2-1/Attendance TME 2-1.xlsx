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TME 2-1\"/>
    </mc:Choice>
  </mc:AlternateContent>
  <xr:revisionPtr revIDLastSave="0" documentId="13_ncr:1_{5A3A8550-D59C-4910-94CD-2E831F7128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ME 2-1" sheetId="2" r:id="rId1"/>
    <sheet name="Assignment" sheetId="3" r:id="rId2"/>
  </sheets>
  <definedNames>
    <definedName name="_xlnm._FilterDatabase" localSheetId="1" hidden="1">Assignment!$A$3:$G$31</definedName>
    <definedName name="_xlnm._FilterDatabase" localSheetId="0" hidden="1">'TME 2-1'!$A$3:$X$31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4" i="3"/>
  <c r="I4" i="3" s="1"/>
  <c r="A5" i="3"/>
  <c r="A6" i="3" s="1"/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4" i="2"/>
  <c r="B2" i="3" l="1"/>
  <c r="J2" i="2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A5" i="2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B2" i="2" l="1"/>
</calcChain>
</file>

<file path=xl/sharedStrings.xml><?xml version="1.0" encoding="utf-8"?>
<sst xmlns="http://schemas.openxmlformats.org/spreadsheetml/2006/main" count="221" uniqueCount="45">
  <si>
    <t>SL</t>
  </si>
  <si>
    <t>Students ID</t>
  </si>
  <si>
    <t>Students Name</t>
  </si>
  <si>
    <t>SADIA AFRIN ARPITA</t>
  </si>
  <si>
    <t>MOHAMMAD MONAEYM SHAHERIAR</t>
  </si>
  <si>
    <t>JEBA FARIHA</t>
  </si>
  <si>
    <t>ROBAYET ISLAM MAHID</t>
  </si>
  <si>
    <t>MD. ADIB AL ZIAN</t>
  </si>
  <si>
    <t>MD. MURTADA RABBY</t>
  </si>
  <si>
    <t>SHAHRIAR HOSEN PROMI</t>
  </si>
  <si>
    <t>MD. SAZIDUR RAHMAN</t>
  </si>
  <si>
    <t>DIPONGKAR RAY</t>
  </si>
  <si>
    <t>MD. HUMAUN KOBIR</t>
  </si>
  <si>
    <t>MD. JUBAYER AHMED</t>
  </si>
  <si>
    <t>MST. JANNATUL FERDOUS LUBA</t>
  </si>
  <si>
    <t>ZAFRIN NOOR</t>
  </si>
  <si>
    <t>ARITRO SAHA</t>
  </si>
  <si>
    <t>SALMAN RAHAT</t>
  </si>
  <si>
    <t>MD. ABDULLAH HARUN TAHAMID</t>
  </si>
  <si>
    <t>MEHEK SARKAR</t>
  </si>
  <si>
    <t>RABEYA AKTER LIMA</t>
  </si>
  <si>
    <t>SHABIBA AHMED</t>
  </si>
  <si>
    <t>FABIA SULTANA</t>
  </si>
  <si>
    <t>JOYIRIA SIDDIQUA</t>
  </si>
  <si>
    <t>MD. ARAFAT AHAMMAD KHAN</t>
  </si>
  <si>
    <t>MD. PARVEZ MUSAROF RAFI</t>
  </si>
  <si>
    <t>MD. TAMIM BHUIYAN</t>
  </si>
  <si>
    <t>MD.TANVIR AHMED</t>
  </si>
  <si>
    <t>PRANTO DATTA</t>
  </si>
  <si>
    <t>ZIHAD KABIR TANVIR</t>
  </si>
  <si>
    <t>MOHAMMAD AL MARJAN</t>
  </si>
  <si>
    <t>A</t>
  </si>
  <si>
    <t>P</t>
  </si>
  <si>
    <t>TME 2-1</t>
  </si>
  <si>
    <t>BATCH 51</t>
  </si>
  <si>
    <t>NOS</t>
  </si>
  <si>
    <t>NOCLS</t>
  </si>
  <si>
    <t>Attendance%</t>
  </si>
  <si>
    <t>Assignment 1</t>
  </si>
  <si>
    <t>Knitting Action</t>
  </si>
  <si>
    <t>Assignmnet 2</t>
  </si>
  <si>
    <t>Assignment 3</t>
  </si>
  <si>
    <t>Assignmnet 4</t>
  </si>
  <si>
    <t>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</si>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</sst>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zoomScale="99" zoomScaleNormal="100" workbookViewId="0">
      <pane xSplit="4" ySplit="3" topLeftCell="N4" activePane="bottomRight" state="frozen"/>
      <selection pane="topRight" activeCell="F1" sqref="F1"/>
      <selection pane="bottomLeft" activeCell="A4" sqref="A4"/>
      <selection pane="bottomRight" activeCell="K9" sqref="K9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9" style="2" bestFit="1" customWidth="1"/>
    <col min="4" max="4" width="19.44140625" style="2" bestFit="1" customWidth="1"/>
    <col min="5" max="5" width="31.88671875" style="2" bestFit="1" customWidth="1"/>
    <col min="6" max="6" width="34.109375" style="2" bestFit="1" customWidth="1"/>
    <col min="7" max="8" width="31.88671875" style="2" bestFit="1" customWidth="1"/>
    <col min="9" max="9" width="39.77734375" style="2" bestFit="1" customWidth="1"/>
    <col min="10" max="24" width="25.77734375" style="2" customWidth="1"/>
    <col min="25" max="16384" width="8.88671875" style="2"/>
  </cols>
  <sheetData>
    <row r="1" spans="1:24" x14ac:dyDescent="0.3">
      <c r="A1" s="12" t="s">
        <v>33</v>
      </c>
      <c r="B1" s="12"/>
      <c r="C1" s="7" t="s">
        <v>34</v>
      </c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7" t="s">
        <v>35</v>
      </c>
      <c r="B2" s="7">
        <f>COUNT(A4:A31)</f>
        <v>28</v>
      </c>
      <c r="C2" s="7" t="s">
        <v>36</v>
      </c>
      <c r="D2" s="7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f>I2+1</f>
        <v>6</v>
      </c>
      <c r="K2" s="9">
        <f t="shared" ref="K2:X2" si="0">J2+1</f>
        <v>7</v>
      </c>
      <c r="L2" s="9">
        <f t="shared" si="0"/>
        <v>8</v>
      </c>
      <c r="M2" s="9">
        <f t="shared" si="0"/>
        <v>9</v>
      </c>
      <c r="N2" s="9">
        <f t="shared" si="0"/>
        <v>10</v>
      </c>
      <c r="O2" s="9">
        <f t="shared" si="0"/>
        <v>11</v>
      </c>
      <c r="P2" s="9">
        <f t="shared" si="0"/>
        <v>12</v>
      </c>
      <c r="Q2" s="9">
        <f t="shared" si="0"/>
        <v>13</v>
      </c>
      <c r="R2" s="9">
        <f t="shared" si="0"/>
        <v>14</v>
      </c>
      <c r="S2" s="9">
        <f t="shared" si="0"/>
        <v>15</v>
      </c>
      <c r="T2" s="9">
        <f t="shared" si="0"/>
        <v>16</v>
      </c>
      <c r="U2" s="9">
        <f>T2+1</f>
        <v>17</v>
      </c>
      <c r="V2" s="9">
        <f t="shared" si="0"/>
        <v>18</v>
      </c>
      <c r="W2" s="9">
        <f t="shared" si="0"/>
        <v>19</v>
      </c>
      <c r="X2" s="9">
        <f t="shared" si="0"/>
        <v>20</v>
      </c>
    </row>
    <row r="3" spans="1:24" s="6" customFormat="1" x14ac:dyDescent="0.3">
      <c r="A3" s="3" t="s">
        <v>0</v>
      </c>
      <c r="B3" s="3" t="s">
        <v>1</v>
      </c>
      <c r="C3" s="3" t="s">
        <v>2</v>
      </c>
      <c r="D3" s="3" t="s">
        <v>37</v>
      </c>
      <c r="E3" s="4">
        <v>46250</v>
      </c>
      <c r="F3" s="4">
        <v>46254</v>
      </c>
      <c r="G3" s="4">
        <v>46257</v>
      </c>
      <c r="H3" s="4">
        <v>46264</v>
      </c>
      <c r="I3" s="4">
        <v>46267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">
      <c r="A4" s="1">
        <v>1</v>
      </c>
      <c r="B4" s="1">
        <v>25011101001</v>
      </c>
      <c r="C4" s="1" t="s">
        <v>3</v>
      </c>
      <c r="D4" s="11">
        <f>COUNTIF(E4:X4,"P")/(COUNTIF(E4:X4,"P")+COUNTIF(E4:X4,"A"))</f>
        <v>0.8</v>
      </c>
      <c r="E4" s="1" t="s">
        <v>32</v>
      </c>
      <c r="F4" s="1" t="s">
        <v>32</v>
      </c>
      <c r="G4" s="1" t="s">
        <v>32</v>
      </c>
      <c r="H4" s="5" t="s">
        <v>31</v>
      </c>
      <c r="I4" s="1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0">
        <f t="shared" ref="A5:A31" si="1">A4+1</f>
        <v>2</v>
      </c>
      <c r="B5" s="1">
        <v>25011101002</v>
      </c>
      <c r="C5" s="1" t="s">
        <v>4</v>
      </c>
      <c r="D5" s="11">
        <f t="shared" ref="D5:D31" si="2">COUNTIF(E5:X5,"P")/(COUNTIF(E5:X5,"P")+COUNTIF(E5:X5,"A"))</f>
        <v>1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>
        <f t="shared" si="1"/>
        <v>3</v>
      </c>
      <c r="B6" s="1">
        <v>25011101003</v>
      </c>
      <c r="C6" s="1" t="s">
        <v>5</v>
      </c>
      <c r="D6" s="11">
        <f t="shared" si="2"/>
        <v>1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>
        <f t="shared" si="1"/>
        <v>4</v>
      </c>
      <c r="B7" s="1">
        <v>25011101004</v>
      </c>
      <c r="C7" s="1" t="s">
        <v>6</v>
      </c>
      <c r="D7" s="11">
        <f t="shared" si="2"/>
        <v>1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f t="shared" si="1"/>
        <v>5</v>
      </c>
      <c r="B8" s="1">
        <v>25011101005</v>
      </c>
      <c r="C8" s="1" t="s">
        <v>7</v>
      </c>
      <c r="D8" s="11">
        <f t="shared" si="2"/>
        <v>1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>
        <f t="shared" si="1"/>
        <v>6</v>
      </c>
      <c r="B9" s="1">
        <v>25011101008</v>
      </c>
      <c r="C9" s="1" t="s">
        <v>8</v>
      </c>
      <c r="D9" s="11">
        <f t="shared" si="2"/>
        <v>0.6</v>
      </c>
      <c r="E9" s="1" t="s">
        <v>32</v>
      </c>
      <c r="F9" s="5" t="s">
        <v>31</v>
      </c>
      <c r="G9" s="1" t="s">
        <v>32</v>
      </c>
      <c r="H9" s="5" t="s">
        <v>31</v>
      </c>
      <c r="I9" s="1" t="s">
        <v>32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>
        <f t="shared" si="1"/>
        <v>7</v>
      </c>
      <c r="B10" s="1">
        <v>25011101009</v>
      </c>
      <c r="C10" s="1" t="s">
        <v>9</v>
      </c>
      <c r="D10" s="11">
        <f t="shared" si="2"/>
        <v>0.6</v>
      </c>
      <c r="E10" s="5" t="s">
        <v>31</v>
      </c>
      <c r="F10" s="1" t="s">
        <v>32</v>
      </c>
      <c r="G10" s="1" t="s">
        <v>32</v>
      </c>
      <c r="H10" s="5" t="s">
        <v>31</v>
      </c>
      <c r="I10" s="1" t="s">
        <v>32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>
        <f t="shared" si="1"/>
        <v>8</v>
      </c>
      <c r="B11" s="1">
        <v>25011101010</v>
      </c>
      <c r="C11" s="1" t="s">
        <v>10</v>
      </c>
      <c r="D11" s="11">
        <f t="shared" si="2"/>
        <v>0.8</v>
      </c>
      <c r="E11" s="1" t="s">
        <v>32</v>
      </c>
      <c r="F11" s="1" t="s">
        <v>32</v>
      </c>
      <c r="G11" s="1" t="s">
        <v>32</v>
      </c>
      <c r="H11" s="1" t="s">
        <v>32</v>
      </c>
      <c r="I11" s="5" t="s">
        <v>31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f t="shared" si="1"/>
        <v>9</v>
      </c>
      <c r="B12" s="1">
        <v>25011101011</v>
      </c>
      <c r="C12" s="1" t="s">
        <v>11</v>
      </c>
      <c r="D12" s="11">
        <f t="shared" si="2"/>
        <v>1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>
        <f t="shared" si="1"/>
        <v>10</v>
      </c>
      <c r="B13" s="1">
        <v>25011101012</v>
      </c>
      <c r="C13" s="1" t="s">
        <v>12</v>
      </c>
      <c r="D13" s="11">
        <f t="shared" si="2"/>
        <v>1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>
        <f t="shared" si="1"/>
        <v>11</v>
      </c>
      <c r="B14" s="1">
        <v>25011101013</v>
      </c>
      <c r="C14" s="1" t="s">
        <v>13</v>
      </c>
      <c r="D14" s="11">
        <f t="shared" si="2"/>
        <v>0.8</v>
      </c>
      <c r="E14" s="1" t="s">
        <v>32</v>
      </c>
      <c r="F14" s="1" t="s">
        <v>32</v>
      </c>
      <c r="G14" s="1" t="s">
        <v>32</v>
      </c>
      <c r="H14" s="1" t="s">
        <v>32</v>
      </c>
      <c r="I14" s="5" t="s">
        <v>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>
        <f t="shared" si="1"/>
        <v>12</v>
      </c>
      <c r="B15" s="1">
        <v>25011101014</v>
      </c>
      <c r="C15" s="1" t="s">
        <v>14</v>
      </c>
      <c r="D15" s="11">
        <f t="shared" si="2"/>
        <v>0.6</v>
      </c>
      <c r="E15" s="5" t="s">
        <v>31</v>
      </c>
      <c r="F15" s="1" t="s">
        <v>32</v>
      </c>
      <c r="G15" s="5" t="s">
        <v>31</v>
      </c>
      <c r="H15" s="1" t="s">
        <v>32</v>
      </c>
      <c r="I15" s="1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>
        <f t="shared" si="1"/>
        <v>13</v>
      </c>
      <c r="B16" s="1">
        <v>25011101015</v>
      </c>
      <c r="C16" s="1" t="s">
        <v>15</v>
      </c>
      <c r="D16" s="11">
        <f t="shared" si="2"/>
        <v>1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f t="shared" si="1"/>
        <v>14</v>
      </c>
      <c r="B17" s="1">
        <v>25011101016</v>
      </c>
      <c r="C17" s="1" t="s">
        <v>16</v>
      </c>
      <c r="D17" s="11">
        <f t="shared" si="2"/>
        <v>0.8</v>
      </c>
      <c r="E17" s="1" t="s">
        <v>32</v>
      </c>
      <c r="F17" s="1" t="s">
        <v>32</v>
      </c>
      <c r="G17" s="5" t="s">
        <v>31</v>
      </c>
      <c r="H17" s="1" t="s">
        <v>32</v>
      </c>
      <c r="I17" s="1" t="s">
        <v>32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>
        <f t="shared" si="1"/>
        <v>15</v>
      </c>
      <c r="B18" s="1">
        <v>25011101017</v>
      </c>
      <c r="C18" s="1" t="s">
        <v>17</v>
      </c>
      <c r="D18" s="11">
        <f t="shared" si="2"/>
        <v>0.4</v>
      </c>
      <c r="E18" s="1" t="s">
        <v>32</v>
      </c>
      <c r="F18" s="5" t="s">
        <v>31</v>
      </c>
      <c r="G18" s="5" t="s">
        <v>31</v>
      </c>
      <c r="H18" s="5" t="s">
        <v>31</v>
      </c>
      <c r="I18" s="1" t="s">
        <v>32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f t="shared" si="1"/>
        <v>16</v>
      </c>
      <c r="B19" s="1">
        <v>25011101018</v>
      </c>
      <c r="C19" s="1" t="s">
        <v>18</v>
      </c>
      <c r="D19" s="11">
        <f t="shared" si="2"/>
        <v>0.6</v>
      </c>
      <c r="E19" s="5" t="s">
        <v>31</v>
      </c>
      <c r="F19" s="5" t="s">
        <v>31</v>
      </c>
      <c r="G19" s="1" t="s">
        <v>32</v>
      </c>
      <c r="H19" s="1" t="s">
        <v>32</v>
      </c>
      <c r="I19" s="1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>
        <f t="shared" si="1"/>
        <v>17</v>
      </c>
      <c r="B20" s="1">
        <v>25011101019</v>
      </c>
      <c r="C20" s="1" t="s">
        <v>19</v>
      </c>
      <c r="D20" s="11">
        <f t="shared" si="2"/>
        <v>1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>
        <f t="shared" si="1"/>
        <v>18</v>
      </c>
      <c r="B21" s="1">
        <v>25011101020</v>
      </c>
      <c r="C21" s="1" t="s">
        <v>20</v>
      </c>
      <c r="D21" s="11">
        <f t="shared" si="2"/>
        <v>1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>
        <f t="shared" si="1"/>
        <v>19</v>
      </c>
      <c r="B22" s="1">
        <v>25011101021</v>
      </c>
      <c r="C22" s="1" t="s">
        <v>21</v>
      </c>
      <c r="D22" s="11">
        <f t="shared" si="2"/>
        <v>1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>
        <f t="shared" si="1"/>
        <v>20</v>
      </c>
      <c r="B23" s="1">
        <v>25011101022</v>
      </c>
      <c r="C23" s="1" t="s">
        <v>22</v>
      </c>
      <c r="D23" s="11">
        <f t="shared" si="2"/>
        <v>1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0">
        <f t="shared" si="1"/>
        <v>21</v>
      </c>
      <c r="B24" s="1">
        <v>25011101023</v>
      </c>
      <c r="C24" s="1" t="s">
        <v>23</v>
      </c>
      <c r="D24" s="11">
        <f t="shared" si="2"/>
        <v>0.8</v>
      </c>
      <c r="E24" s="1" t="s">
        <v>32</v>
      </c>
      <c r="F24" s="1" t="s">
        <v>32</v>
      </c>
      <c r="G24" s="1" t="s">
        <v>32</v>
      </c>
      <c r="H24" s="1" t="s">
        <v>32</v>
      </c>
      <c r="I24" s="5" t="s">
        <v>31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>
        <f t="shared" si="1"/>
        <v>22</v>
      </c>
      <c r="B25" s="1">
        <v>25011101024</v>
      </c>
      <c r="C25" s="1" t="s">
        <v>24</v>
      </c>
      <c r="D25" s="11">
        <f t="shared" si="2"/>
        <v>1</v>
      </c>
      <c r="E25" s="1" t="s">
        <v>32</v>
      </c>
      <c r="F25" s="1" t="s">
        <v>32</v>
      </c>
      <c r="G25" s="1" t="s">
        <v>32</v>
      </c>
      <c r="H25" s="1" t="s">
        <v>32</v>
      </c>
      <c r="I25" s="1" t="s">
        <v>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>
        <f t="shared" si="1"/>
        <v>23</v>
      </c>
      <c r="B26" s="1">
        <v>25011101025</v>
      </c>
      <c r="C26" s="1" t="s">
        <v>25</v>
      </c>
      <c r="D26" s="11">
        <f t="shared" si="2"/>
        <v>0.4</v>
      </c>
      <c r="E26" s="5" t="s">
        <v>31</v>
      </c>
      <c r="F26" s="1" t="s">
        <v>32</v>
      </c>
      <c r="G26" s="1" t="s">
        <v>32</v>
      </c>
      <c r="H26" s="5" t="s">
        <v>31</v>
      </c>
      <c r="I26" s="5" t="s">
        <v>31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>
        <f t="shared" si="1"/>
        <v>24</v>
      </c>
      <c r="B27" s="1">
        <v>25011101026</v>
      </c>
      <c r="C27" s="1" t="s">
        <v>26</v>
      </c>
      <c r="D27" s="11">
        <f t="shared" si="2"/>
        <v>0.8</v>
      </c>
      <c r="E27" s="1" t="s">
        <v>32</v>
      </c>
      <c r="F27" s="5" t="s">
        <v>31</v>
      </c>
      <c r="G27" s="1" t="s">
        <v>32</v>
      </c>
      <c r="H27" s="1" t="s">
        <v>32</v>
      </c>
      <c r="I27" s="1" t="s">
        <v>32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>
        <f t="shared" si="1"/>
        <v>25</v>
      </c>
      <c r="B28" s="1">
        <v>25011101027</v>
      </c>
      <c r="C28" s="1" t="s">
        <v>27</v>
      </c>
      <c r="D28" s="11">
        <f t="shared" si="2"/>
        <v>0.8</v>
      </c>
      <c r="E28" s="5" t="s">
        <v>31</v>
      </c>
      <c r="F28" s="1" t="s">
        <v>32</v>
      </c>
      <c r="G28" s="1" t="s">
        <v>32</v>
      </c>
      <c r="H28" s="1" t="s">
        <v>32</v>
      </c>
      <c r="I28" s="1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>
        <f t="shared" si="1"/>
        <v>26</v>
      </c>
      <c r="B29" s="1">
        <v>25011101028</v>
      </c>
      <c r="C29" s="1" t="s">
        <v>28</v>
      </c>
      <c r="D29" s="11">
        <f t="shared" si="2"/>
        <v>0.8</v>
      </c>
      <c r="E29" s="5" t="s">
        <v>31</v>
      </c>
      <c r="F29" s="1" t="s">
        <v>32</v>
      </c>
      <c r="G29" s="1" t="s">
        <v>32</v>
      </c>
      <c r="H29" s="1" t="s">
        <v>32</v>
      </c>
      <c r="I29" s="1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>
        <f t="shared" si="1"/>
        <v>27</v>
      </c>
      <c r="B30" s="1">
        <v>25011101029</v>
      </c>
      <c r="C30" s="1" t="s">
        <v>29</v>
      </c>
      <c r="D30" s="11">
        <f t="shared" si="2"/>
        <v>1</v>
      </c>
      <c r="E30" s="1" t="s">
        <v>32</v>
      </c>
      <c r="F30" s="1" t="s">
        <v>32</v>
      </c>
      <c r="G30" s="1" t="s">
        <v>32</v>
      </c>
      <c r="H30" s="1" t="s">
        <v>32</v>
      </c>
      <c r="I30" s="1" t="s">
        <v>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>
        <f t="shared" si="1"/>
        <v>28</v>
      </c>
      <c r="B31" s="1">
        <v>25011101030</v>
      </c>
      <c r="C31" s="1" t="s">
        <v>30</v>
      </c>
      <c r="D31" s="11">
        <f t="shared" si="2"/>
        <v>0.6</v>
      </c>
      <c r="E31" s="5" t="s">
        <v>31</v>
      </c>
      <c r="F31" s="1" t="s">
        <v>32</v>
      </c>
      <c r="G31" s="1" t="s">
        <v>32</v>
      </c>
      <c r="H31" s="5" t="s">
        <v>31</v>
      </c>
      <c r="I31" s="1" t="s">
        <v>32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</sheetData>
  <autoFilter ref="A3:X31" xr:uid="{00000000-0001-0000-0000-000000000000}"/>
  <mergeCells count="1">
    <mergeCell ref="A1:B1"/>
  </mergeCells>
  <conditionalFormatting sqref="D4:D31">
    <cfRule type="cellIs" dxfId="1" priority="5" operator="greaterThan">
      <formula>0.9</formula>
    </cfRule>
    <cfRule type="cellIs" dxfId="0" priority="6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B3EF-818E-4A70-9374-2DAEC6B795EE}">
  <dimension ref="A1:I31"/>
  <sheetViews>
    <sheetView tabSelected="1" zoomScale="99" zoomScaleNormal="100" workbookViewId="0">
      <pane xSplit="3" ySplit="3" topLeftCell="D4" activePane="bottomRight" state="frozen"/>
      <selection pane="topRight" activeCell="F1" sqref="F1"/>
      <selection pane="bottomLeft" activeCell="A4" sqref="A4"/>
      <selection pane="bottomRight" activeCell="F6" sqref="F6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9" style="2" bestFit="1" customWidth="1"/>
    <col min="4" max="7" width="25.77734375" style="2" customWidth="1"/>
    <col min="8" max="16384" width="8.88671875" style="2"/>
  </cols>
  <sheetData>
    <row r="1" spans="1:9" x14ac:dyDescent="0.3">
      <c r="A1" s="12" t="s">
        <v>33</v>
      </c>
      <c r="B1" s="12"/>
      <c r="C1" s="7" t="s">
        <v>34</v>
      </c>
      <c r="D1" s="8" t="s">
        <v>38</v>
      </c>
      <c r="E1" s="8" t="s">
        <v>40</v>
      </c>
      <c r="F1" s="8" t="s">
        <v>41</v>
      </c>
      <c r="G1" s="8" t="s">
        <v>42</v>
      </c>
      <c r="H1" s="14" t="s">
        <v>44</v>
      </c>
      <c r="I1" s="14"/>
    </row>
    <row r="2" spans="1:9" x14ac:dyDescent="0.3">
      <c r="A2" s="7" t="s">
        <v>35</v>
      </c>
      <c r="B2" s="7">
        <f>COUNT(A4:A31)</f>
        <v>28</v>
      </c>
      <c r="C2" s="7" t="s">
        <v>36</v>
      </c>
      <c r="D2" s="9" t="s">
        <v>39</v>
      </c>
      <c r="E2" s="9"/>
      <c r="F2" s="9"/>
      <c r="G2" s="9"/>
      <c r="H2" s="14"/>
      <c r="I2" s="14"/>
    </row>
    <row r="3" spans="1:9" s="6" customFormat="1" x14ac:dyDescent="0.3">
      <c r="A3" s="3" t="s">
        <v>0</v>
      </c>
      <c r="B3" s="3" t="s">
        <v>1</v>
      </c>
      <c r="C3" s="3" t="s">
        <v>2</v>
      </c>
      <c r="D3" s="13" t="s">
        <v>43</v>
      </c>
      <c r="E3" s="13" t="s">
        <v>43</v>
      </c>
      <c r="F3" s="13" t="s">
        <v>43</v>
      </c>
      <c r="G3" s="13" t="s">
        <v>43</v>
      </c>
      <c r="H3" s="15">
        <v>20</v>
      </c>
      <c r="I3" s="15">
        <v>7.5</v>
      </c>
    </row>
    <row r="4" spans="1:9" x14ac:dyDescent="0.3">
      <c r="A4" s="1">
        <v>1</v>
      </c>
      <c r="B4" s="1">
        <v>25011101001</v>
      </c>
      <c r="C4" s="1" t="s">
        <v>3</v>
      </c>
      <c r="D4" s="1"/>
      <c r="E4" s="1"/>
      <c r="F4" s="1"/>
      <c r="G4" s="1"/>
      <c r="H4" s="1">
        <f>SUM(D4:G4)</f>
        <v>0</v>
      </c>
      <c r="I4" s="1">
        <f>(H4/20)*7.5</f>
        <v>0</v>
      </c>
    </row>
    <row r="5" spans="1:9" x14ac:dyDescent="0.3">
      <c r="A5" s="10">
        <f t="shared" ref="A5:A31" si="0">A4+1</f>
        <v>2</v>
      </c>
      <c r="B5" s="1">
        <v>25011101002</v>
      </c>
      <c r="C5" s="1" t="s">
        <v>4</v>
      </c>
      <c r="D5" s="1"/>
      <c r="E5" s="1"/>
      <c r="F5" s="1"/>
      <c r="G5" s="1"/>
      <c r="H5" s="1">
        <f t="shared" ref="H5:H31" si="1">SUM(D5:G5)</f>
        <v>0</v>
      </c>
      <c r="I5" s="1">
        <f t="shared" ref="I5:I31" si="2">(H5/20)*7.5</f>
        <v>0</v>
      </c>
    </row>
    <row r="6" spans="1:9" x14ac:dyDescent="0.3">
      <c r="A6" s="1">
        <f t="shared" si="0"/>
        <v>3</v>
      </c>
      <c r="B6" s="1">
        <v>25011101003</v>
      </c>
      <c r="C6" s="1" t="s">
        <v>5</v>
      </c>
      <c r="D6" s="1"/>
      <c r="E6" s="1"/>
      <c r="F6" s="1"/>
      <c r="G6" s="1"/>
      <c r="H6" s="1">
        <f t="shared" si="1"/>
        <v>0</v>
      </c>
      <c r="I6" s="1">
        <f t="shared" si="2"/>
        <v>0</v>
      </c>
    </row>
    <row r="7" spans="1:9" x14ac:dyDescent="0.3">
      <c r="A7" s="1">
        <f t="shared" si="0"/>
        <v>4</v>
      </c>
      <c r="B7" s="1">
        <v>25011101004</v>
      </c>
      <c r="C7" s="1" t="s">
        <v>6</v>
      </c>
      <c r="D7" s="1"/>
      <c r="E7" s="1"/>
      <c r="F7" s="1"/>
      <c r="G7" s="1"/>
      <c r="H7" s="1">
        <f t="shared" si="1"/>
        <v>0</v>
      </c>
      <c r="I7" s="1">
        <f t="shared" si="2"/>
        <v>0</v>
      </c>
    </row>
    <row r="8" spans="1:9" x14ac:dyDescent="0.3">
      <c r="A8" s="1">
        <f t="shared" si="0"/>
        <v>5</v>
      </c>
      <c r="B8" s="1">
        <v>25011101005</v>
      </c>
      <c r="C8" s="1" t="s">
        <v>7</v>
      </c>
      <c r="D8" s="1"/>
      <c r="E8" s="1"/>
      <c r="F8" s="1"/>
      <c r="G8" s="1"/>
      <c r="H8" s="1">
        <f t="shared" si="1"/>
        <v>0</v>
      </c>
      <c r="I8" s="1">
        <f t="shared" si="2"/>
        <v>0</v>
      </c>
    </row>
    <row r="9" spans="1:9" x14ac:dyDescent="0.3">
      <c r="A9" s="1">
        <f t="shared" si="0"/>
        <v>6</v>
      </c>
      <c r="B9" s="1">
        <v>25011101008</v>
      </c>
      <c r="C9" s="1" t="s">
        <v>8</v>
      </c>
      <c r="D9" s="1"/>
      <c r="E9" s="1"/>
      <c r="F9" s="1"/>
      <c r="G9" s="1"/>
      <c r="H9" s="1">
        <f t="shared" si="1"/>
        <v>0</v>
      </c>
      <c r="I9" s="1">
        <f t="shared" si="2"/>
        <v>0</v>
      </c>
    </row>
    <row r="10" spans="1:9" x14ac:dyDescent="0.3">
      <c r="A10" s="1">
        <f t="shared" si="0"/>
        <v>7</v>
      </c>
      <c r="B10" s="1">
        <v>25011101009</v>
      </c>
      <c r="C10" s="1" t="s">
        <v>9</v>
      </c>
      <c r="D10" s="1"/>
      <c r="E10" s="1"/>
      <c r="F10" s="1"/>
      <c r="G10" s="1"/>
      <c r="H10" s="1">
        <f t="shared" si="1"/>
        <v>0</v>
      </c>
      <c r="I10" s="1">
        <f t="shared" si="2"/>
        <v>0</v>
      </c>
    </row>
    <row r="11" spans="1:9" x14ac:dyDescent="0.3">
      <c r="A11" s="1">
        <f t="shared" si="0"/>
        <v>8</v>
      </c>
      <c r="B11" s="1">
        <v>25011101010</v>
      </c>
      <c r="C11" s="1" t="s">
        <v>10</v>
      </c>
      <c r="D11" s="1"/>
      <c r="E11" s="1"/>
      <c r="F11" s="1"/>
      <c r="G11" s="1"/>
      <c r="H11" s="1">
        <f t="shared" si="1"/>
        <v>0</v>
      </c>
      <c r="I11" s="1">
        <f t="shared" si="2"/>
        <v>0</v>
      </c>
    </row>
    <row r="12" spans="1:9" x14ac:dyDescent="0.3">
      <c r="A12" s="1">
        <f t="shared" si="0"/>
        <v>9</v>
      </c>
      <c r="B12" s="1">
        <v>25011101011</v>
      </c>
      <c r="C12" s="1" t="s">
        <v>11</v>
      </c>
      <c r="D12" s="1"/>
      <c r="E12" s="1"/>
      <c r="F12" s="1"/>
      <c r="G12" s="1"/>
      <c r="H12" s="1">
        <f t="shared" si="1"/>
        <v>0</v>
      </c>
      <c r="I12" s="1">
        <f t="shared" si="2"/>
        <v>0</v>
      </c>
    </row>
    <row r="13" spans="1:9" x14ac:dyDescent="0.3">
      <c r="A13" s="1">
        <f t="shared" si="0"/>
        <v>10</v>
      </c>
      <c r="B13" s="1">
        <v>25011101012</v>
      </c>
      <c r="C13" s="1" t="s">
        <v>12</v>
      </c>
      <c r="D13" s="1"/>
      <c r="E13" s="1"/>
      <c r="F13" s="1"/>
      <c r="G13" s="1"/>
      <c r="H13" s="1">
        <f t="shared" si="1"/>
        <v>0</v>
      </c>
      <c r="I13" s="1">
        <f t="shared" si="2"/>
        <v>0</v>
      </c>
    </row>
    <row r="14" spans="1:9" x14ac:dyDescent="0.3">
      <c r="A14" s="1">
        <f t="shared" si="0"/>
        <v>11</v>
      </c>
      <c r="B14" s="1">
        <v>25011101013</v>
      </c>
      <c r="C14" s="1" t="s">
        <v>13</v>
      </c>
      <c r="D14" s="1"/>
      <c r="E14" s="1"/>
      <c r="F14" s="1"/>
      <c r="G14" s="1"/>
      <c r="H14" s="1">
        <f t="shared" si="1"/>
        <v>0</v>
      </c>
      <c r="I14" s="1">
        <f t="shared" si="2"/>
        <v>0</v>
      </c>
    </row>
    <row r="15" spans="1:9" x14ac:dyDescent="0.3">
      <c r="A15" s="1">
        <f t="shared" si="0"/>
        <v>12</v>
      </c>
      <c r="B15" s="1">
        <v>25011101014</v>
      </c>
      <c r="C15" s="1" t="s">
        <v>14</v>
      </c>
      <c r="D15" s="1"/>
      <c r="E15" s="1"/>
      <c r="F15" s="1"/>
      <c r="G15" s="1"/>
      <c r="H15" s="1">
        <f t="shared" si="1"/>
        <v>0</v>
      </c>
      <c r="I15" s="1">
        <f t="shared" si="2"/>
        <v>0</v>
      </c>
    </row>
    <row r="16" spans="1:9" x14ac:dyDescent="0.3">
      <c r="A16" s="1">
        <f t="shared" si="0"/>
        <v>13</v>
      </c>
      <c r="B16" s="1">
        <v>25011101015</v>
      </c>
      <c r="C16" s="1" t="s">
        <v>15</v>
      </c>
      <c r="D16" s="1"/>
      <c r="E16" s="1"/>
      <c r="F16" s="1"/>
      <c r="G16" s="1"/>
      <c r="H16" s="1">
        <f t="shared" si="1"/>
        <v>0</v>
      </c>
      <c r="I16" s="1">
        <f t="shared" si="2"/>
        <v>0</v>
      </c>
    </row>
    <row r="17" spans="1:9" x14ac:dyDescent="0.3">
      <c r="A17" s="1">
        <f t="shared" si="0"/>
        <v>14</v>
      </c>
      <c r="B17" s="1">
        <v>25011101016</v>
      </c>
      <c r="C17" s="1" t="s">
        <v>16</v>
      </c>
      <c r="D17" s="1"/>
      <c r="E17" s="1"/>
      <c r="F17" s="1"/>
      <c r="G17" s="1"/>
      <c r="H17" s="1">
        <f t="shared" si="1"/>
        <v>0</v>
      </c>
      <c r="I17" s="1">
        <f t="shared" si="2"/>
        <v>0</v>
      </c>
    </row>
    <row r="18" spans="1:9" x14ac:dyDescent="0.3">
      <c r="A18" s="1">
        <f t="shared" si="0"/>
        <v>15</v>
      </c>
      <c r="B18" s="1">
        <v>25011101017</v>
      </c>
      <c r="C18" s="1" t="s">
        <v>17</v>
      </c>
      <c r="D18" s="1"/>
      <c r="E18" s="1"/>
      <c r="F18" s="1"/>
      <c r="G18" s="1"/>
      <c r="H18" s="1">
        <f t="shared" si="1"/>
        <v>0</v>
      </c>
      <c r="I18" s="1">
        <f t="shared" si="2"/>
        <v>0</v>
      </c>
    </row>
    <row r="19" spans="1:9" x14ac:dyDescent="0.3">
      <c r="A19" s="1">
        <f t="shared" si="0"/>
        <v>16</v>
      </c>
      <c r="B19" s="1">
        <v>25011101018</v>
      </c>
      <c r="C19" s="1" t="s">
        <v>18</v>
      </c>
      <c r="D19" s="1"/>
      <c r="E19" s="1"/>
      <c r="F19" s="1"/>
      <c r="G19" s="1"/>
      <c r="H19" s="1">
        <f t="shared" si="1"/>
        <v>0</v>
      </c>
      <c r="I19" s="1">
        <f t="shared" si="2"/>
        <v>0</v>
      </c>
    </row>
    <row r="20" spans="1:9" x14ac:dyDescent="0.3">
      <c r="A20" s="1">
        <f t="shared" si="0"/>
        <v>17</v>
      </c>
      <c r="B20" s="1">
        <v>25011101019</v>
      </c>
      <c r="C20" s="1" t="s">
        <v>19</v>
      </c>
      <c r="D20" s="1"/>
      <c r="E20" s="1"/>
      <c r="F20" s="1"/>
      <c r="G20" s="1"/>
      <c r="H20" s="1">
        <f t="shared" si="1"/>
        <v>0</v>
      </c>
      <c r="I20" s="1">
        <f t="shared" si="2"/>
        <v>0</v>
      </c>
    </row>
    <row r="21" spans="1:9" x14ac:dyDescent="0.3">
      <c r="A21" s="1">
        <f t="shared" si="0"/>
        <v>18</v>
      </c>
      <c r="B21" s="1">
        <v>25011101020</v>
      </c>
      <c r="C21" s="1" t="s">
        <v>20</v>
      </c>
      <c r="D21" s="1"/>
      <c r="E21" s="1"/>
      <c r="F21" s="1"/>
      <c r="G21" s="1"/>
      <c r="H21" s="1">
        <f t="shared" si="1"/>
        <v>0</v>
      </c>
      <c r="I21" s="1">
        <f t="shared" si="2"/>
        <v>0</v>
      </c>
    </row>
    <row r="22" spans="1:9" x14ac:dyDescent="0.3">
      <c r="A22" s="1">
        <f t="shared" si="0"/>
        <v>19</v>
      </c>
      <c r="B22" s="1">
        <v>25011101021</v>
      </c>
      <c r="C22" s="1" t="s">
        <v>21</v>
      </c>
      <c r="D22" s="1"/>
      <c r="E22" s="1"/>
      <c r="F22" s="1"/>
      <c r="G22" s="1"/>
      <c r="H22" s="1">
        <f t="shared" si="1"/>
        <v>0</v>
      </c>
      <c r="I22" s="1">
        <f t="shared" si="2"/>
        <v>0</v>
      </c>
    </row>
    <row r="23" spans="1:9" x14ac:dyDescent="0.3">
      <c r="A23" s="1">
        <f t="shared" si="0"/>
        <v>20</v>
      </c>
      <c r="B23" s="1">
        <v>25011101022</v>
      </c>
      <c r="C23" s="1" t="s">
        <v>22</v>
      </c>
      <c r="D23" s="1"/>
      <c r="E23" s="1"/>
      <c r="F23" s="1"/>
      <c r="G23" s="1"/>
      <c r="H23" s="1">
        <f t="shared" si="1"/>
        <v>0</v>
      </c>
      <c r="I23" s="1">
        <f t="shared" si="2"/>
        <v>0</v>
      </c>
    </row>
    <row r="24" spans="1:9" x14ac:dyDescent="0.3">
      <c r="A24" s="10">
        <f t="shared" si="0"/>
        <v>21</v>
      </c>
      <c r="B24" s="1">
        <v>25011101023</v>
      </c>
      <c r="C24" s="1" t="s">
        <v>23</v>
      </c>
      <c r="D24" s="1"/>
      <c r="E24" s="1"/>
      <c r="F24" s="1"/>
      <c r="G24" s="1"/>
      <c r="H24" s="1">
        <f t="shared" si="1"/>
        <v>0</v>
      </c>
      <c r="I24" s="1">
        <f t="shared" si="2"/>
        <v>0</v>
      </c>
    </row>
    <row r="25" spans="1:9" x14ac:dyDescent="0.3">
      <c r="A25" s="1">
        <f t="shared" si="0"/>
        <v>22</v>
      </c>
      <c r="B25" s="1">
        <v>25011101024</v>
      </c>
      <c r="C25" s="1" t="s">
        <v>24</v>
      </c>
      <c r="D25" s="1"/>
      <c r="E25" s="1"/>
      <c r="F25" s="1"/>
      <c r="G25" s="1"/>
      <c r="H25" s="1">
        <f t="shared" si="1"/>
        <v>0</v>
      </c>
      <c r="I25" s="1">
        <f t="shared" si="2"/>
        <v>0</v>
      </c>
    </row>
    <row r="26" spans="1:9" x14ac:dyDescent="0.3">
      <c r="A26" s="1">
        <f t="shared" si="0"/>
        <v>23</v>
      </c>
      <c r="B26" s="1">
        <v>25011101025</v>
      </c>
      <c r="C26" s="1" t="s">
        <v>25</v>
      </c>
      <c r="D26" s="1"/>
      <c r="E26" s="1"/>
      <c r="F26" s="1"/>
      <c r="G26" s="1"/>
      <c r="H26" s="1">
        <f t="shared" si="1"/>
        <v>0</v>
      </c>
      <c r="I26" s="1">
        <f t="shared" si="2"/>
        <v>0</v>
      </c>
    </row>
    <row r="27" spans="1:9" x14ac:dyDescent="0.3">
      <c r="A27" s="1">
        <f t="shared" si="0"/>
        <v>24</v>
      </c>
      <c r="B27" s="1">
        <v>25011101026</v>
      </c>
      <c r="C27" s="1" t="s">
        <v>26</v>
      </c>
      <c r="D27" s="1"/>
      <c r="E27" s="1"/>
      <c r="F27" s="1"/>
      <c r="G27" s="1"/>
      <c r="H27" s="1">
        <f t="shared" si="1"/>
        <v>0</v>
      </c>
      <c r="I27" s="1">
        <f t="shared" si="2"/>
        <v>0</v>
      </c>
    </row>
    <row r="28" spans="1:9" x14ac:dyDescent="0.3">
      <c r="A28" s="1">
        <f t="shared" si="0"/>
        <v>25</v>
      </c>
      <c r="B28" s="1">
        <v>25011101027</v>
      </c>
      <c r="C28" s="1" t="s">
        <v>27</v>
      </c>
      <c r="D28" s="1"/>
      <c r="E28" s="1"/>
      <c r="F28" s="1"/>
      <c r="G28" s="1"/>
      <c r="H28" s="1">
        <f t="shared" si="1"/>
        <v>0</v>
      </c>
      <c r="I28" s="1">
        <f t="shared" si="2"/>
        <v>0</v>
      </c>
    </row>
    <row r="29" spans="1:9" x14ac:dyDescent="0.3">
      <c r="A29" s="1">
        <f t="shared" si="0"/>
        <v>26</v>
      </c>
      <c r="B29" s="1">
        <v>25011101028</v>
      </c>
      <c r="C29" s="1" t="s">
        <v>28</v>
      </c>
      <c r="D29" s="1"/>
      <c r="E29" s="1"/>
      <c r="F29" s="1"/>
      <c r="G29" s="1"/>
      <c r="H29" s="1">
        <f t="shared" si="1"/>
        <v>0</v>
      </c>
      <c r="I29" s="1">
        <f t="shared" si="2"/>
        <v>0</v>
      </c>
    </row>
    <row r="30" spans="1:9" x14ac:dyDescent="0.3">
      <c r="A30" s="1">
        <f t="shared" si="0"/>
        <v>27</v>
      </c>
      <c r="B30" s="1">
        <v>25011101029</v>
      </c>
      <c r="C30" s="1" t="s">
        <v>29</v>
      </c>
      <c r="D30" s="1"/>
      <c r="E30" s="1"/>
      <c r="F30" s="1"/>
      <c r="G30" s="1"/>
      <c r="H30" s="1">
        <f t="shared" si="1"/>
        <v>0</v>
      </c>
      <c r="I30" s="1">
        <f t="shared" si="2"/>
        <v>0</v>
      </c>
    </row>
    <row r="31" spans="1:9" x14ac:dyDescent="0.3">
      <c r="A31" s="1">
        <f t="shared" si="0"/>
        <v>28</v>
      </c>
      <c r="B31" s="1">
        <v>25011101030</v>
      </c>
      <c r="C31" s="1" t="s">
        <v>30</v>
      </c>
      <c r="D31" s="1"/>
      <c r="E31" s="1"/>
      <c r="F31" s="1"/>
      <c r="G31" s="1"/>
      <c r="H31" s="1">
        <f t="shared" si="1"/>
        <v>0</v>
      </c>
      <c r="I31" s="1">
        <f t="shared" si="2"/>
        <v>0</v>
      </c>
    </row>
  </sheetData>
  <autoFilter ref="A3:G31" xr:uid="{00000000-0001-0000-0000-000000000000}"/>
  <mergeCells count="2">
    <mergeCell ref="A1:B1"/>
    <mergeCell ref="H1:I2"/>
  </mergeCells>
  <pageMargins left="0.7" right="0.7" top="0.75" bottom="0.75" header="0.3" footer="0.3"/>
  <pageSetup orientation="portrait" r:id="rId1"/>
  <ignoredErrors>
    <ignoredError sqref="D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TME 2-1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2026-09-02T03:59:21Z</dcterms:modified>
</cp:coreProperties>
</file>