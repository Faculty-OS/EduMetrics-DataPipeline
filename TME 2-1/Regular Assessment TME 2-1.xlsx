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5BA6B776-8158-4E94-9BA7-158206804D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3" l="1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<sst xmlns="http://schemas.openxmlformats.org/spreadsheetml/2006/main" count="275" uniqueCount="53">
  <si>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</si>
  <si>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</si>
  <si>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</si>
  <si>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</si>
  <si>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</si>
  <si>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</si>
  <si>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</si>
  <si>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</si>
  <si>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</si>
  <si>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</si>
  <si>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</si>
  <si>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</si>
  <si>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</si>
  <si>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</si>
  <si>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</si>
  <si>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</si>
  <si>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</si>
  <si>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</si>
  <si>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</si>
  <si>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</si>
  <si>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</si>
  <si>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</si>
  <si>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</si>
  <si>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</si>
  <si>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</si>
  <si>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</si>
  <si>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</si>
  <si>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</si>
  <si>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</si>
  <si>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</si>
  <si>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</si>
  <si>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</si>
  <si>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</si>
  <si>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</si>
  <si>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</si>
  <si>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</si>
  <si>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</si>
  <si>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</si>
  <si>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</si>
  <si>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</si>
  <si>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</si>
  <si>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</si>
  <si>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Total</t>
  </si>
  <si>
    <t>7.5</t>
  </si>
  <si>
    <t>Not Clear</t>
  </si>
  <si>
    <t>Drew 3 Figures</t>
  </si>
  <si>
    <t xml:space="preserve">Underlapping, Yarn Feeding, Pressing Mistakes </t>
  </si>
  <si>
    <t>Drew 2 Figures &amp; SJCKM</t>
  </si>
  <si>
    <t>Drew 3 Figures &amp; SJCKM</t>
  </si>
  <si>
    <t>Drew 3 Figures, Knock Over Missing, Pressing Mistake</t>
  </si>
  <si>
    <t>Comments on Assignment 1</t>
  </si>
  <si>
    <t>Assignment 4</t>
  </si>
  <si>
    <t>Comments on 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</si>
</sst>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9" zoomScaleNormal="100" workbookViewId="0">
      <pane xSplit="4" ySplit="3" topLeftCell="K16" activePane="bottomRight" state="frozen"/>
      <selection pane="topRight" activeCell="F1" sqref="F1"/>
      <selection pane="bottomLeft" activeCell="A4" sqref="A4"/>
      <selection pane="bottomRight" activeCell="K32" sqref="K32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10" width="34.88671875" style="2" bestFit="1" customWidth="1"/>
    <col min="11" max="11" width="39.77734375" style="2" bestFit="1" customWidth="1"/>
    <col min="12" max="24" width="25.77734375" style="2" customWidth="1"/>
    <col min="25" max="16384" width="8.88671875" style="2"/>
  </cols>
  <sheetData>
    <row r="1" spans="1:24" x14ac:dyDescent="0.3">
      <c r="A1" s="15" t="s">
        <v>33</v>
      </c>
      <c r="B1" s="15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0.83333333333333337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 t="s">
        <v>32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0.8571428571428571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 t="s">
        <v>31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0.5714285714285714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 t="s">
        <v>32</v>
      </c>
      <c r="K9" s="1" t="s">
        <v>31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0.5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5" t="s">
        <v>31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0.7142857142857143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 t="s">
        <v>32</v>
      </c>
      <c r="K11" s="1" t="s">
        <v>31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0.7142857142857143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5" t="s">
        <v>31</v>
      </c>
      <c r="K12" s="1" t="s">
        <v>31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0.8571428571428571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 t="s">
        <v>31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0.7142857142857143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 t="s">
        <v>32</v>
      </c>
      <c r="K14" s="1" t="s">
        <v>31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0.42857142857142855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5" t="s">
        <v>31</v>
      </c>
      <c r="K15" s="1" t="s">
        <v>31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0.7142857142857143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 t="s">
        <v>32</v>
      </c>
      <c r="K17" s="1" t="s">
        <v>31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0.2857142857142857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5" t="s">
        <v>31</v>
      </c>
      <c r="K18" s="1" t="s">
        <v>31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0.5714285714285714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 t="s">
        <v>32</v>
      </c>
      <c r="K19" s="1" t="s">
        <v>31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0.8571428571428571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 t="s">
        <v>31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0.8571428571428571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 t="s">
        <v>31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0.83333333333333337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 t="s">
        <v>32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0.33333333333333331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5" t="s">
        <v>31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0.83333333333333337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 t="s">
        <v>32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0.83333333333333337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 t="s">
        <v>32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0.83333333333333337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 t="s">
        <v>32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0.8571428571428571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 t="s">
        <v>31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0.5714285714285714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 t="s">
        <v>32</v>
      </c>
      <c r="K31" s="1" t="s">
        <v>31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1" priority="5" operator="greaterThan">
      <formula>0.9</formula>
    </cfRule>
    <cfRule type="cellIs" dxfId="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K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G23" sqref="G2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12.77734375" style="2" customWidth="1"/>
    <col min="9" max="9" width="9.21875" style="2" customWidth="1"/>
    <col min="10" max="11" width="52.77734375" style="2" bestFit="1" customWidth="1"/>
    <col min="12" max="16384" width="8.88671875" style="2"/>
  </cols>
  <sheetData>
    <row r="1" spans="1:11" x14ac:dyDescent="0.3">
      <c r="A1" s="15" t="s">
        <v>33</v>
      </c>
      <c r="B1" s="15"/>
      <c r="C1" s="7" t="s">
        <v>34</v>
      </c>
      <c r="D1" s="8" t="s">
        <v>38</v>
      </c>
      <c r="E1" s="8" t="s">
        <v>40</v>
      </c>
      <c r="F1" s="8" t="s">
        <v>41</v>
      </c>
      <c r="G1" s="8" t="s">
        <v>51</v>
      </c>
      <c r="H1" s="16" t="s">
        <v>42</v>
      </c>
      <c r="I1" s="16"/>
      <c r="J1" s="17" t="s">
        <v>50</v>
      </c>
      <c r="K1" s="17" t="s">
        <v>52</v>
      </c>
    </row>
    <row r="2" spans="1:11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6"/>
      <c r="I2" s="16"/>
      <c r="J2" s="17"/>
      <c r="K2" s="17"/>
    </row>
    <row r="3" spans="1:11" s="6" customFormat="1" x14ac:dyDescent="0.3">
      <c r="A3" s="3" t="s">
        <v>0</v>
      </c>
      <c r="B3" s="3" t="s">
        <v>1</v>
      </c>
      <c r="C3" s="3" t="s">
        <v>2</v>
      </c>
      <c r="D3" s="3" t="s">
        <v>43</v>
      </c>
      <c r="E3" s="3" t="s">
        <v>43</v>
      </c>
      <c r="F3" s="3" t="s">
        <v>43</v>
      </c>
      <c r="G3" s="3" t="s">
        <v>43</v>
      </c>
      <c r="H3" s="3">
        <v>30</v>
      </c>
      <c r="I3" s="12">
        <v>7.5</v>
      </c>
      <c r="J3" s="17"/>
      <c r="K3" s="17"/>
    </row>
    <row r="4" spans="1:11" x14ac:dyDescent="0.3">
      <c r="A4" s="1">
        <v>1</v>
      </c>
      <c r="B4" s="1">
        <v>25011101001</v>
      </c>
      <c r="C4" s="1" t="s">
        <v>3</v>
      </c>
      <c r="D4" s="1">
        <v>7.5</v>
      </c>
      <c r="E4" s="1"/>
      <c r="F4" s="1"/>
      <c r="G4" s="1"/>
      <c r="H4" s="1">
        <f>SUM(D4:G4)</f>
        <v>7.5</v>
      </c>
      <c r="I4" s="1">
        <f>(H4/30)*7.5</f>
        <v>1.875</v>
      </c>
      <c r="J4" s="1"/>
      <c r="K4" s="1"/>
    </row>
    <row r="5" spans="1:11" x14ac:dyDescent="0.3">
      <c r="A5" s="10">
        <f t="shared" ref="A5:A31" si="0">A4+1</f>
        <v>2</v>
      </c>
      <c r="B5" s="1">
        <v>25011101002</v>
      </c>
      <c r="C5" s="1" t="s">
        <v>4</v>
      </c>
      <c r="D5" s="1">
        <v>7.5</v>
      </c>
      <c r="E5" s="1"/>
      <c r="F5" s="1"/>
      <c r="G5" s="1"/>
      <c r="H5" s="1">
        <f t="shared" ref="H5:H31" si="1">SUM(D5:G5)</f>
        <v>7.5</v>
      </c>
      <c r="I5" s="1">
        <f t="shared" ref="I5:I31" si="2">(H5/30)*7.5</f>
        <v>1.875</v>
      </c>
      <c r="J5" s="1"/>
      <c r="K5" s="1"/>
    </row>
    <row r="6" spans="1:11" x14ac:dyDescent="0.3">
      <c r="A6" s="1">
        <f t="shared" si="0"/>
        <v>3</v>
      </c>
      <c r="B6" s="1">
        <v>25011101003</v>
      </c>
      <c r="C6" s="1" t="s">
        <v>5</v>
      </c>
      <c r="D6" s="1">
        <v>7.5</v>
      </c>
      <c r="E6" s="1"/>
      <c r="F6" s="1"/>
      <c r="G6" s="1"/>
      <c r="H6" s="1">
        <f t="shared" si="1"/>
        <v>7.5</v>
      </c>
      <c r="I6" s="1">
        <f t="shared" si="2"/>
        <v>1.875</v>
      </c>
      <c r="J6" s="1"/>
      <c r="K6" s="1"/>
    </row>
    <row r="7" spans="1:11" x14ac:dyDescent="0.3">
      <c r="A7" s="1">
        <f t="shared" si="0"/>
        <v>4</v>
      </c>
      <c r="B7" s="1">
        <v>25011101004</v>
      </c>
      <c r="C7" s="1" t="s">
        <v>6</v>
      </c>
      <c r="D7" s="1">
        <v>7</v>
      </c>
      <c r="E7" s="1"/>
      <c r="F7" s="1"/>
      <c r="G7" s="1"/>
      <c r="H7" s="1">
        <f t="shared" si="1"/>
        <v>7</v>
      </c>
      <c r="I7" s="1">
        <f t="shared" si="2"/>
        <v>1.75</v>
      </c>
      <c r="J7" s="1"/>
      <c r="K7" s="1"/>
    </row>
    <row r="8" spans="1:11" x14ac:dyDescent="0.3">
      <c r="A8" s="1">
        <f t="shared" si="0"/>
        <v>5</v>
      </c>
      <c r="B8" s="1">
        <v>25011101005</v>
      </c>
      <c r="C8" s="1" t="s">
        <v>7</v>
      </c>
      <c r="D8" s="1">
        <v>5</v>
      </c>
      <c r="E8" s="1"/>
      <c r="F8" s="1"/>
      <c r="G8" s="1"/>
      <c r="H8" s="1">
        <f t="shared" si="1"/>
        <v>5</v>
      </c>
      <c r="I8" s="1">
        <f t="shared" si="2"/>
        <v>1.25</v>
      </c>
      <c r="J8" s="1" t="s">
        <v>45</v>
      </c>
      <c r="K8" s="1"/>
    </row>
    <row r="9" spans="1:11" x14ac:dyDescent="0.3">
      <c r="A9" s="1">
        <f t="shared" si="0"/>
        <v>6</v>
      </c>
      <c r="B9" s="1">
        <v>25011101008</v>
      </c>
      <c r="C9" s="1" t="s">
        <v>8</v>
      </c>
      <c r="D9" s="1">
        <v>6.5</v>
      </c>
      <c r="E9" s="1"/>
      <c r="F9" s="1"/>
      <c r="G9" s="1"/>
      <c r="H9" s="1">
        <f t="shared" si="1"/>
        <v>6.5</v>
      </c>
      <c r="I9" s="1">
        <f t="shared" si="2"/>
        <v>1.625</v>
      </c>
      <c r="J9" s="1"/>
      <c r="K9" s="1"/>
    </row>
    <row r="10" spans="1:11" x14ac:dyDescent="0.3">
      <c r="A10" s="1">
        <f t="shared" si="0"/>
        <v>7</v>
      </c>
      <c r="B10" s="1">
        <v>25011101009</v>
      </c>
      <c r="C10" s="1" t="s">
        <v>9</v>
      </c>
      <c r="D10" s="13"/>
      <c r="E10" s="1"/>
      <c r="F10" s="1"/>
      <c r="G10" s="1"/>
      <c r="H10" s="1">
        <f t="shared" si="1"/>
        <v>0</v>
      </c>
      <c r="I10" s="1">
        <f t="shared" si="2"/>
        <v>0</v>
      </c>
      <c r="J10" s="1"/>
      <c r="K10" s="1"/>
    </row>
    <row r="11" spans="1:11" x14ac:dyDescent="0.3">
      <c r="A11" s="1">
        <f t="shared" si="0"/>
        <v>8</v>
      </c>
      <c r="B11" s="1">
        <v>25011101010</v>
      </c>
      <c r="C11" s="1" t="s">
        <v>10</v>
      </c>
      <c r="D11" s="1">
        <v>7</v>
      </c>
      <c r="E11" s="1"/>
      <c r="F11" s="1"/>
      <c r="G11" s="1"/>
      <c r="H11" s="1">
        <f t="shared" si="1"/>
        <v>7</v>
      </c>
      <c r="I11" s="1">
        <f t="shared" si="2"/>
        <v>1.75</v>
      </c>
      <c r="J11" s="1"/>
      <c r="K11" s="1"/>
    </row>
    <row r="12" spans="1:11" x14ac:dyDescent="0.3">
      <c r="A12" s="1">
        <f t="shared" si="0"/>
        <v>9</v>
      </c>
      <c r="B12" s="1">
        <v>25011101011</v>
      </c>
      <c r="C12" s="1" t="s">
        <v>11</v>
      </c>
      <c r="D12" s="1">
        <v>6.5</v>
      </c>
      <c r="E12" s="1"/>
      <c r="F12" s="1"/>
      <c r="G12" s="1"/>
      <c r="H12" s="1">
        <f t="shared" si="1"/>
        <v>6.5</v>
      </c>
      <c r="I12" s="1">
        <f t="shared" si="2"/>
        <v>1.625</v>
      </c>
      <c r="J12" s="1"/>
      <c r="K12" s="1"/>
    </row>
    <row r="13" spans="1:11" x14ac:dyDescent="0.3">
      <c r="A13" s="1">
        <f t="shared" si="0"/>
        <v>10</v>
      </c>
      <c r="B13" s="1">
        <v>25011101012</v>
      </c>
      <c r="C13" s="1" t="s">
        <v>12</v>
      </c>
      <c r="D13" s="1">
        <v>7</v>
      </c>
      <c r="E13" s="1"/>
      <c r="F13" s="1"/>
      <c r="G13" s="1"/>
      <c r="H13" s="1">
        <f t="shared" si="1"/>
        <v>7</v>
      </c>
      <c r="I13" s="1">
        <f t="shared" si="2"/>
        <v>1.75</v>
      </c>
      <c r="J13" s="1"/>
      <c r="K13" s="1"/>
    </row>
    <row r="14" spans="1:11" x14ac:dyDescent="0.3">
      <c r="A14" s="1">
        <f t="shared" si="0"/>
        <v>11</v>
      </c>
      <c r="B14" s="1">
        <v>25011101013</v>
      </c>
      <c r="C14" s="1" t="s">
        <v>13</v>
      </c>
      <c r="D14" s="1">
        <v>7</v>
      </c>
      <c r="E14" s="1"/>
      <c r="F14" s="1"/>
      <c r="G14" s="1"/>
      <c r="H14" s="1">
        <f t="shared" si="1"/>
        <v>7</v>
      </c>
      <c r="I14" s="1">
        <f t="shared" si="2"/>
        <v>1.75</v>
      </c>
      <c r="J14" s="1"/>
      <c r="K14" s="1"/>
    </row>
    <row r="15" spans="1:11" x14ac:dyDescent="0.3">
      <c r="A15" s="1">
        <f t="shared" si="0"/>
        <v>12</v>
      </c>
      <c r="B15" s="1">
        <v>25011101014</v>
      </c>
      <c r="C15" s="1" t="s">
        <v>14</v>
      </c>
      <c r="D15" s="1">
        <v>5.5</v>
      </c>
      <c r="E15" s="1"/>
      <c r="F15" s="1"/>
      <c r="G15" s="1"/>
      <c r="H15" s="1">
        <f t="shared" si="1"/>
        <v>5.5</v>
      </c>
      <c r="I15" s="1">
        <f t="shared" si="2"/>
        <v>1.375</v>
      </c>
      <c r="J15" s="1" t="s">
        <v>45</v>
      </c>
      <c r="K15" s="1"/>
    </row>
    <row r="16" spans="1:11" x14ac:dyDescent="0.3">
      <c r="A16" s="1">
        <f t="shared" si="0"/>
        <v>13</v>
      </c>
      <c r="B16" s="1">
        <v>25011101015</v>
      </c>
      <c r="C16" s="1" t="s">
        <v>15</v>
      </c>
      <c r="D16" s="1">
        <v>5</v>
      </c>
      <c r="E16" s="1"/>
      <c r="F16" s="1"/>
      <c r="G16" s="1"/>
      <c r="H16" s="1">
        <f t="shared" si="1"/>
        <v>5</v>
      </c>
      <c r="I16" s="1">
        <f t="shared" si="2"/>
        <v>1.25</v>
      </c>
      <c r="J16" s="1" t="s">
        <v>46</v>
      </c>
      <c r="K16" s="1"/>
    </row>
    <row r="17" spans="1:11" x14ac:dyDescent="0.3">
      <c r="A17" s="1">
        <f t="shared" si="0"/>
        <v>14</v>
      </c>
      <c r="B17" s="1">
        <v>25011101016</v>
      </c>
      <c r="C17" s="1" t="s">
        <v>16</v>
      </c>
      <c r="D17" s="1">
        <v>6</v>
      </c>
      <c r="E17" s="1"/>
      <c r="F17" s="1"/>
      <c r="G17" s="1"/>
      <c r="H17" s="1">
        <f t="shared" si="1"/>
        <v>6</v>
      </c>
      <c r="I17" s="1">
        <f t="shared" si="2"/>
        <v>1.5</v>
      </c>
      <c r="J17" s="1"/>
      <c r="K17" s="1"/>
    </row>
    <row r="18" spans="1:11" x14ac:dyDescent="0.3">
      <c r="A18" s="1">
        <f t="shared" si="0"/>
        <v>15</v>
      </c>
      <c r="B18" s="1">
        <v>25011101017</v>
      </c>
      <c r="C18" s="1" t="s">
        <v>17</v>
      </c>
      <c r="D18" s="13"/>
      <c r="E18" s="1"/>
      <c r="F18" s="1"/>
      <c r="G18" s="1"/>
      <c r="H18" s="1">
        <f t="shared" si="1"/>
        <v>0</v>
      </c>
      <c r="I18" s="1">
        <f t="shared" si="2"/>
        <v>0</v>
      </c>
      <c r="J18" s="1" t="s">
        <v>45</v>
      </c>
      <c r="K18" s="1"/>
    </row>
    <row r="19" spans="1:11" x14ac:dyDescent="0.3">
      <c r="A19" s="1">
        <f t="shared" si="0"/>
        <v>16</v>
      </c>
      <c r="B19" s="1">
        <v>25011101018</v>
      </c>
      <c r="C19" s="1" t="s">
        <v>18</v>
      </c>
      <c r="D19" s="13"/>
      <c r="E19" s="1"/>
      <c r="F19" s="1"/>
      <c r="G19" s="1"/>
      <c r="H19" s="1">
        <f t="shared" si="1"/>
        <v>0</v>
      </c>
      <c r="I19" s="1">
        <f t="shared" si="2"/>
        <v>0</v>
      </c>
      <c r="J19" s="1" t="s">
        <v>47</v>
      </c>
      <c r="K19" s="1"/>
    </row>
    <row r="20" spans="1:11" x14ac:dyDescent="0.3">
      <c r="A20" s="1">
        <f t="shared" si="0"/>
        <v>17</v>
      </c>
      <c r="B20" s="1">
        <v>25011101019</v>
      </c>
      <c r="C20" s="1" t="s">
        <v>19</v>
      </c>
      <c r="D20" s="1">
        <v>6.5</v>
      </c>
      <c r="E20" s="1"/>
      <c r="F20" s="1"/>
      <c r="G20" s="1"/>
      <c r="H20" s="1">
        <f t="shared" si="1"/>
        <v>6.5</v>
      </c>
      <c r="I20" s="1">
        <f t="shared" si="2"/>
        <v>1.625</v>
      </c>
      <c r="J20" s="1"/>
      <c r="K20" s="1"/>
    </row>
    <row r="21" spans="1:11" x14ac:dyDescent="0.3">
      <c r="A21" s="1">
        <f t="shared" si="0"/>
        <v>18</v>
      </c>
      <c r="B21" s="1">
        <v>25011101020</v>
      </c>
      <c r="C21" s="1" t="s">
        <v>20</v>
      </c>
      <c r="D21" s="1">
        <v>5.5</v>
      </c>
      <c r="E21" s="1"/>
      <c r="F21" s="1"/>
      <c r="G21" s="1"/>
      <c r="H21" s="1">
        <f t="shared" si="1"/>
        <v>5.5</v>
      </c>
      <c r="I21" s="1">
        <f t="shared" si="2"/>
        <v>1.375</v>
      </c>
      <c r="J21" s="1" t="s">
        <v>48</v>
      </c>
      <c r="K21" s="1"/>
    </row>
    <row r="22" spans="1:11" x14ac:dyDescent="0.3">
      <c r="A22" s="1">
        <f t="shared" si="0"/>
        <v>19</v>
      </c>
      <c r="B22" s="1">
        <v>25011101021</v>
      </c>
      <c r="C22" s="1" t="s">
        <v>21</v>
      </c>
      <c r="D22" s="1">
        <v>5.5</v>
      </c>
      <c r="E22" s="1"/>
      <c r="F22" s="1"/>
      <c r="G22" s="1"/>
      <c r="H22" s="1">
        <f t="shared" si="1"/>
        <v>5.5</v>
      </c>
      <c r="I22" s="1">
        <f t="shared" si="2"/>
        <v>1.375</v>
      </c>
      <c r="J22" s="1" t="s">
        <v>45</v>
      </c>
      <c r="K22" s="1"/>
    </row>
    <row r="23" spans="1:11" x14ac:dyDescent="0.3">
      <c r="A23" s="1">
        <f t="shared" si="0"/>
        <v>20</v>
      </c>
      <c r="B23" s="1">
        <v>25011101022</v>
      </c>
      <c r="C23" s="1" t="s">
        <v>22</v>
      </c>
      <c r="D23" s="1">
        <v>7.5</v>
      </c>
      <c r="E23" s="1"/>
      <c r="F23" s="1"/>
      <c r="G23" s="1"/>
      <c r="H23" s="1">
        <f t="shared" si="1"/>
        <v>7.5</v>
      </c>
      <c r="I23" s="1">
        <f t="shared" si="2"/>
        <v>1.875</v>
      </c>
      <c r="J23" s="1"/>
      <c r="K23" s="1"/>
    </row>
    <row r="24" spans="1:11" x14ac:dyDescent="0.3">
      <c r="A24" s="10">
        <f t="shared" si="0"/>
        <v>21</v>
      </c>
      <c r="B24" s="1">
        <v>25011101023</v>
      </c>
      <c r="C24" s="1" t="s">
        <v>23</v>
      </c>
      <c r="D24" s="1">
        <v>6.5</v>
      </c>
      <c r="E24" s="1"/>
      <c r="F24" s="1"/>
      <c r="G24" s="1"/>
      <c r="H24" s="1">
        <f t="shared" si="1"/>
        <v>6.5</v>
      </c>
      <c r="I24" s="1">
        <f t="shared" si="2"/>
        <v>1.625</v>
      </c>
      <c r="J24" s="1"/>
      <c r="K24" s="1"/>
    </row>
    <row r="25" spans="1:11" x14ac:dyDescent="0.3">
      <c r="A25" s="1">
        <f t="shared" si="0"/>
        <v>22</v>
      </c>
      <c r="B25" s="1">
        <v>25011101024</v>
      </c>
      <c r="C25" s="1" t="s">
        <v>24</v>
      </c>
      <c r="D25" s="1">
        <v>5</v>
      </c>
      <c r="E25" s="1"/>
      <c r="F25" s="1"/>
      <c r="G25" s="1"/>
      <c r="H25" s="1">
        <f t="shared" si="1"/>
        <v>5</v>
      </c>
      <c r="I25" s="1">
        <f t="shared" si="2"/>
        <v>1.25</v>
      </c>
      <c r="J25" s="1" t="s">
        <v>49</v>
      </c>
      <c r="K25" s="1"/>
    </row>
    <row r="26" spans="1:11" x14ac:dyDescent="0.3">
      <c r="A26" s="1">
        <f t="shared" si="0"/>
        <v>23</v>
      </c>
      <c r="B26" s="1">
        <v>25011101025</v>
      </c>
      <c r="C26" s="1" t="s">
        <v>25</v>
      </c>
      <c r="D26" s="13"/>
      <c r="E26" s="1"/>
      <c r="F26" s="1"/>
      <c r="G26" s="1"/>
      <c r="H26" s="1">
        <f t="shared" si="1"/>
        <v>0</v>
      </c>
      <c r="I26" s="1">
        <f t="shared" si="2"/>
        <v>0</v>
      </c>
      <c r="J26" s="1"/>
      <c r="K26" s="1"/>
    </row>
    <row r="27" spans="1:11" x14ac:dyDescent="0.3">
      <c r="A27" s="1">
        <f t="shared" si="0"/>
        <v>24</v>
      </c>
      <c r="B27" s="1">
        <v>25011101026</v>
      </c>
      <c r="C27" s="1" t="s">
        <v>26</v>
      </c>
      <c r="D27" s="13"/>
      <c r="E27" s="1"/>
      <c r="F27" s="1"/>
      <c r="G27" s="1"/>
      <c r="H27" s="1">
        <f t="shared" si="1"/>
        <v>0</v>
      </c>
      <c r="I27" s="1">
        <f t="shared" si="2"/>
        <v>0</v>
      </c>
      <c r="J27" s="1"/>
      <c r="K27" s="1"/>
    </row>
    <row r="28" spans="1:11" x14ac:dyDescent="0.3">
      <c r="A28" s="1">
        <f t="shared" si="0"/>
        <v>25</v>
      </c>
      <c r="B28" s="1">
        <v>25011101027</v>
      </c>
      <c r="C28" s="1" t="s">
        <v>27</v>
      </c>
      <c r="D28" s="1">
        <v>6.5</v>
      </c>
      <c r="E28" s="1"/>
      <c r="F28" s="1"/>
      <c r="G28" s="1"/>
      <c r="H28" s="1">
        <f t="shared" si="1"/>
        <v>6.5</v>
      </c>
      <c r="I28" s="1">
        <f t="shared" si="2"/>
        <v>1.625</v>
      </c>
      <c r="J28" s="1"/>
      <c r="K28" s="1"/>
    </row>
    <row r="29" spans="1:11" x14ac:dyDescent="0.3">
      <c r="A29" s="1">
        <f t="shared" si="0"/>
        <v>26</v>
      </c>
      <c r="B29" s="1">
        <v>25011101028</v>
      </c>
      <c r="C29" s="1" t="s">
        <v>28</v>
      </c>
      <c r="D29" s="14"/>
      <c r="E29" s="1"/>
      <c r="F29" s="1"/>
      <c r="G29" s="1"/>
      <c r="H29" s="1">
        <f t="shared" si="1"/>
        <v>0</v>
      </c>
      <c r="I29" s="1">
        <f t="shared" si="2"/>
        <v>0</v>
      </c>
      <c r="J29" s="1" t="s">
        <v>44</v>
      </c>
      <c r="K29" s="1"/>
    </row>
    <row r="30" spans="1:11" x14ac:dyDescent="0.3">
      <c r="A30" s="1">
        <f t="shared" si="0"/>
        <v>27</v>
      </c>
      <c r="B30" s="1">
        <v>25011101029</v>
      </c>
      <c r="C30" s="1" t="s">
        <v>29</v>
      </c>
      <c r="D30" s="1">
        <v>7.5</v>
      </c>
      <c r="E30" s="1"/>
      <c r="F30" s="1"/>
      <c r="G30" s="1"/>
      <c r="H30" s="1">
        <f t="shared" si="1"/>
        <v>7.5</v>
      </c>
      <c r="I30" s="1">
        <f t="shared" si="2"/>
        <v>1.875</v>
      </c>
      <c r="J30" s="1"/>
      <c r="K30" s="1"/>
    </row>
    <row r="31" spans="1:11" x14ac:dyDescent="0.3">
      <c r="A31" s="1">
        <f t="shared" si="0"/>
        <v>28</v>
      </c>
      <c r="B31" s="1">
        <v>25011101030</v>
      </c>
      <c r="C31" s="1" t="s">
        <v>30</v>
      </c>
      <c r="D31" s="14"/>
      <c r="E31" s="1"/>
      <c r="F31" s="1"/>
      <c r="G31" s="1"/>
      <c r="H31" s="1">
        <f t="shared" si="1"/>
        <v>0</v>
      </c>
      <c r="I31" s="1">
        <f t="shared" si="2"/>
        <v>0</v>
      </c>
      <c r="J31" s="1" t="s">
        <v>44</v>
      </c>
      <c r="K31" s="1"/>
    </row>
  </sheetData>
  <autoFilter ref="A3:G31" xr:uid="{00000000-0001-0000-0000-000000000000}"/>
  <mergeCells count="4">
    <mergeCell ref="A1:B1"/>
    <mergeCell ref="H1:I2"/>
    <mergeCell ref="J1:J3"/>
    <mergeCell ref="K1:K3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2026-09-09T03:41:23Z</dcterms:modified>
</cp:coreProperties>
</file>