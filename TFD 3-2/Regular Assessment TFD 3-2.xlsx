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1965D3E5-E6A4-4CCA-938B-9C0DF3887B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6" i="5" s="1" a="1"/>
  <c r="E6" i="5" s="1"/>
  <c r="D7" i="5"/>
  <c r="E7" i="5" s="1" a="1"/>
  <c r="E7" i="5" s="1"/>
  <c r="D8" i="5"/>
  <c r="E8" i="5" s="1" a="1"/>
  <c r="E8" i="5" s="1"/>
  <c r="D9" i="5"/>
  <c r="E9" i="5" s="1" a="1"/>
  <c r="E9" i="5" s="1"/>
  <c r="D10" i="5"/>
  <c r="E10" i="5" s="1" a="1"/>
  <c r="E10" i="5" s="1"/>
  <c r="D11" i="5"/>
  <c r="E11" i="5" s="1" a="1"/>
  <c r="E11" i="5" s="1"/>
  <c r="D12" i="5"/>
  <c r="E12" i="5" s="1" a="1"/>
  <c r="E12" i="5" s="1"/>
  <c r="D13" i="5"/>
  <c r="E13" i="5" s="1" a="1"/>
  <c r="E13" i="5" s="1"/>
  <c r="D14" i="5"/>
  <c r="E14" i="5" s="1" a="1"/>
  <c r="E14" i="5" s="1"/>
  <c r="D15" i="5"/>
  <c r="E15" i="5" s="1" a="1"/>
  <c r="E15" i="5" s="1"/>
  <c r="D16" i="5"/>
  <c r="E16" i="5" s="1" a="1"/>
  <c r="E16" i="5" s="1"/>
  <c r="D17" i="5"/>
  <c r="E17" i="5" s="1" a="1"/>
  <c r="E17" i="5" s="1"/>
  <c r="D18" i="5"/>
  <c r="E18" i="5" s="1" a="1"/>
  <c r="E18" i="5" s="1"/>
  <c r="D19" i="5"/>
  <c r="E19" i="5" s="1" a="1"/>
  <c r="E19" i="5" s="1"/>
  <c r="D20" i="5"/>
  <c r="E20" i="5" s="1" a="1"/>
  <c r="E20" i="5" s="1"/>
  <c r="D21" i="5"/>
  <c r="E21" i="5" s="1" a="1"/>
  <c r="E21" i="5" s="1"/>
  <c r="D22" i="5"/>
  <c r="E22" i="5" s="1" a="1"/>
  <c r="E22" i="5" s="1"/>
  <c r="D23" i="5"/>
  <c r="E23" i="5" s="1" a="1"/>
  <c r="E23" i="5" s="1"/>
  <c r="D24" i="5"/>
  <c r="E24" i="5" s="1" a="1"/>
  <c r="E24" i="5" s="1"/>
  <c r="D25" i="5"/>
  <c r="E25" i="5" s="1" a="1"/>
  <c r="E25" i="5" s="1"/>
  <c r="D26" i="5"/>
  <c r="E26" i="5" s="1" a="1"/>
  <c r="E26" i="5" s="1"/>
  <c r="D27" i="5"/>
  <c r="E27" i="5" s="1" a="1"/>
  <c r="E27" i="5" s="1"/>
  <c r="D28" i="5"/>
  <c r="E28" i="5" s="1" a="1"/>
  <c r="E28" i="5" s="1"/>
  <c r="D29" i="5"/>
  <c r="E29" i="5" s="1" a="1"/>
  <c r="E29" i="5" s="1"/>
  <c r="D30" i="5"/>
  <c r="E30" i="5" s="1" a="1"/>
  <c r="E30" i="5" s="1"/>
  <c r="D31" i="5"/>
  <c r="E31" i="5" s="1" a="1"/>
  <c r="E31" i="5" s="1"/>
  <c r="D32" i="5"/>
  <c r="E32" i="5" s="1" a="1"/>
  <c r="E32" i="5" s="1"/>
  <c r="D33" i="5"/>
  <c r="E33" i="5" s="1" a="1"/>
  <c r="E33" i="5" s="1"/>
  <c r="D34" i="5"/>
  <c r="E34" i="5" s="1" a="1"/>
  <c r="E34" i="5" s="1"/>
  <c r="D35" i="5"/>
  <c r="E35" i="5" s="1" a="1"/>
  <c r="E35" i="5" s="1"/>
  <c r="D36" i="5"/>
  <c r="E36" i="5" s="1" a="1"/>
  <c r="E36" i="5" s="1"/>
  <c r="D37" i="5"/>
  <c r="E37" i="5" s="1" a="1"/>
  <c r="E37" i="5" s="1"/>
  <c r="D5" i="5"/>
  <c r="E5" i="5" s="1" a="1"/>
  <c r="E5" i="5" s="1"/>
  <c r="G2" i="5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4" i="5"/>
  <c r="E4" i="5" s="1" a="1"/>
  <c r="E4" i="5" s="1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B2" i="6" l="1"/>
  <c r="B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<sst xmlns="http://schemas.openxmlformats.org/spreadsheetml/2006/main" count="370" uniqueCount="57">
  <si>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</si>
  <si>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</si>
  <si>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</si>
  <si>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</si>
  <si>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</si>
  <si>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</si>
  <si>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</si>
  <si>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</si>
  <si>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</si>
  <si>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</si>
  <si>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</si>
  <si>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</si>
  <si>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</si>
  <si>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</si>
  <si>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</si>
  <si>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</si>
  <si>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</si>
  <si>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</si>
  <si>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</si>
  <si>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</si>
  <si>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</si>
  <si>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</si>
  <si>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</si>
  <si>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</si>
  <si>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</si>
  <si>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</si>
  <si>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</si>
  <si>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</si>
  <si>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</si>
  <si>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</si>
  <si>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</si>
  <si>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</si>
  <si>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</si>
  <si>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</si>
  <si>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</si>
  <si>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</si>
  <si>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</si>
  <si>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</si>
  <si>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</si>
  <si>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</si>
  <si>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</si>
  <si>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</si>
  <si>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</si>
  <si>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</si>
  <si>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</si>
  <si>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</si>
  <si>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</si>
  <si>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</si>
  <si>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</si>
  <si>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</si>
  <si>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</si>
  <si>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</si>
  <si>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</si>
  <si>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</si>
  <si>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</si>
  <si>
    <t>10.40 AM - 11.30 AM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</si>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</sst>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7"/>
  <sheetViews>
    <sheetView tabSelected="1" zoomScale="102" workbookViewId="0">
      <pane xSplit="5" ySplit="3" topLeftCell="L4" activePane="bottomRight" state="frozen"/>
      <selection pane="topRight" activeCell="E1" sqref="E1"/>
      <selection pane="bottomLeft" activeCell="A4" sqref="A4"/>
      <selection pane="bottomRight" activeCell="M18" sqref="M18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11.88671875" bestFit="1" customWidth="1"/>
    <col min="6" max="6" width="32.77734375" style="2" bestFit="1" customWidth="1"/>
    <col min="7" max="9" width="33.44140625" style="2" bestFit="1" customWidth="1"/>
    <col min="10" max="11" width="32.77734375" style="2" bestFit="1" customWidth="1"/>
    <col min="12" max="12" width="34.88671875" style="2" bestFit="1" customWidth="1"/>
    <col min="13" max="13" width="31.33203125" style="2" bestFit="1" customWidth="1"/>
    <col min="14" max="14" width="12.44140625" style="2" customWidth="1"/>
    <col min="15" max="16384" width="8.88671875" style="2"/>
  </cols>
  <sheetData>
    <row r="1" spans="1:25" x14ac:dyDescent="0.3">
      <c r="A1" s="17" t="s">
        <v>37</v>
      </c>
      <c r="B1" s="17"/>
      <c r="C1" s="6" t="s">
        <v>38</v>
      </c>
      <c r="D1" s="6"/>
      <c r="E1" s="6"/>
      <c r="F1" s="7" t="s">
        <v>42</v>
      </c>
      <c r="G1" s="7" t="s">
        <v>43</v>
      </c>
      <c r="H1" s="7" t="s">
        <v>44</v>
      </c>
      <c r="I1" s="7" t="s">
        <v>45</v>
      </c>
      <c r="J1" s="7" t="s">
        <v>47</v>
      </c>
      <c r="K1" s="7" t="s">
        <v>44</v>
      </c>
      <c r="L1" s="7" t="s">
        <v>55</v>
      </c>
      <c r="M1" s="7" t="s">
        <v>44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x14ac:dyDescent="0.3">
      <c r="A2" s="6" t="s">
        <v>36</v>
      </c>
      <c r="B2" s="6">
        <f>COUNT(A4:A36)</f>
        <v>33</v>
      </c>
      <c r="C2" s="6" t="s">
        <v>41</v>
      </c>
      <c r="D2" s="6"/>
      <c r="E2" s="6"/>
      <c r="F2" s="8">
        <v>1</v>
      </c>
      <c r="G2" s="8">
        <f>F2+1</f>
        <v>2</v>
      </c>
      <c r="H2" s="8">
        <f t="shared" ref="H2:Y2" si="0">G2+1</f>
        <v>3</v>
      </c>
      <c r="I2" s="8">
        <f t="shared" si="0"/>
        <v>4</v>
      </c>
      <c r="J2" s="8">
        <f>I2+1</f>
        <v>5</v>
      </c>
      <c r="K2" s="8">
        <f t="shared" si="0"/>
        <v>6</v>
      </c>
      <c r="L2" s="8">
        <f t="shared" si="0"/>
        <v>7</v>
      </c>
      <c r="M2" s="8">
        <f t="shared" si="0"/>
        <v>8</v>
      </c>
      <c r="N2" s="8">
        <f t="shared" si="0"/>
        <v>9</v>
      </c>
      <c r="O2" s="8">
        <f t="shared" si="0"/>
        <v>10</v>
      </c>
      <c r="P2" s="8">
        <f t="shared" si="0"/>
        <v>11</v>
      </c>
      <c r="Q2" s="8">
        <f t="shared" si="0"/>
        <v>12</v>
      </c>
      <c r="R2" s="8">
        <f t="shared" si="0"/>
        <v>13</v>
      </c>
      <c r="S2" s="8">
        <f t="shared" si="0"/>
        <v>14</v>
      </c>
      <c r="T2" s="8">
        <f t="shared" si="0"/>
        <v>15</v>
      </c>
      <c r="U2" s="8">
        <f t="shared" si="0"/>
        <v>16</v>
      </c>
      <c r="V2" s="8">
        <f t="shared" si="0"/>
        <v>17</v>
      </c>
      <c r="W2" s="8">
        <f>V2+1</f>
        <v>18</v>
      </c>
      <c r="X2" s="8">
        <f t="shared" si="0"/>
        <v>19</v>
      </c>
      <c r="Y2" s="8">
        <f t="shared" si="0"/>
        <v>20</v>
      </c>
    </row>
    <row r="3" spans="1:25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3" t="s">
        <v>56</v>
      </c>
      <c r="F3" s="4">
        <v>46258</v>
      </c>
      <c r="G3" s="4">
        <v>46259</v>
      </c>
      <c r="H3" s="4">
        <v>46259</v>
      </c>
      <c r="I3" s="4">
        <v>46259</v>
      </c>
      <c r="J3" s="4">
        <v>46265</v>
      </c>
      <c r="K3" s="4">
        <v>46271</v>
      </c>
      <c r="L3" s="4">
        <v>46274</v>
      </c>
      <c r="M3" s="4">
        <v>46278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3">
      <c r="A4" s="1">
        <v>1</v>
      </c>
      <c r="B4" s="1">
        <v>23010601001</v>
      </c>
      <c r="C4" s="1" t="s">
        <v>4</v>
      </c>
      <c r="D4" s="10">
        <f t="shared" ref="D4:D37" si="1">COUNTIF(F4:Y4,"P")/(COUNTIF(F4:Y4,"P")+COUNTIF(F4:Y4,"A"))</f>
        <v>1</v>
      </c>
      <c r="E4" s="1" cm="1">
        <f t="array" ref="E4">_xlfn.IFS(D4&gt;=90%,7.5,D4&gt;=80%,6,D4&gt;=70%,4.5,D4&gt;=60%,3,D4&lt;60%,0)</f>
        <v>7.5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 t="s">
        <v>40</v>
      </c>
      <c r="M4" s="1" t="s">
        <v>40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">
        <f>A4+1</f>
        <v>2</v>
      </c>
      <c r="B5" s="1">
        <v>23010601002</v>
      </c>
      <c r="C5" s="1" t="s">
        <v>5</v>
      </c>
      <c r="D5" s="10">
        <f t="shared" si="1"/>
        <v>1</v>
      </c>
      <c r="E5" s="1" cm="1">
        <f t="array" ref="E5">_xlfn.IFS(D5&gt;=90%,7.5,D5&gt;=80%,6,D5&gt;=70%,4.5,D5&gt;=60%,3,D5&lt;60%,0)</f>
        <v>7.5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 t="s">
        <v>40</v>
      </c>
      <c r="M5" s="1" t="s">
        <v>40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0.875</v>
      </c>
      <c r="E6" s="1" cm="1">
        <f t="array" ref="E6">_xlfn.IFS(D6&gt;=90%,7.5,D6&gt;=80%,6,D6&gt;=70%,4.5,D6&gt;=60%,3,D6&lt;60%,0)</f>
        <v>6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40</v>
      </c>
      <c r="L6" s="9" t="s">
        <v>39</v>
      </c>
      <c r="M6" s="1" t="s">
        <v>40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0.875</v>
      </c>
      <c r="E7" s="1" cm="1">
        <f t="array" ref="E7">_xlfn.IFS(D7&gt;=90%,7.5,D7&gt;=80%,6,D7&gt;=70%,4.5,D7&gt;=60%,3,D7&lt;60%,0)</f>
        <v>6</v>
      </c>
      <c r="F7" s="1" t="s">
        <v>40</v>
      </c>
      <c r="G7" s="1" t="s">
        <v>40</v>
      </c>
      <c r="H7" s="1" t="s">
        <v>40</v>
      </c>
      <c r="I7" s="9" t="s">
        <v>39</v>
      </c>
      <c r="J7" s="1" t="s">
        <v>40</v>
      </c>
      <c r="K7" s="1" t="s">
        <v>40</v>
      </c>
      <c r="L7" s="1" t="s">
        <v>40</v>
      </c>
      <c r="M7" s="1" t="s">
        <v>40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cm="1">
        <f t="array" ref="E8">_xlfn.IFS(D8&gt;=90%,7.5,D8&gt;=80%,6,D8&gt;=70%,4.5,D8&gt;=60%,3,D8&lt;60%,0)</f>
        <v>7.5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 t="s">
        <v>40</v>
      </c>
      <c r="M8" s="1" t="s">
        <v>40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cm="1">
        <f t="array" ref="E9">_xlfn.IFS(D9&gt;=90%,7.5,D9&gt;=80%,6,D9&gt;=70%,4.5,D9&gt;=60%,3,D9&lt;60%,0)</f>
        <v>7.5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 t="s">
        <v>40</v>
      </c>
      <c r="M9" s="1" t="s">
        <v>40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0.625</v>
      </c>
      <c r="E10" s="1" cm="1">
        <f t="array" ref="E10">_xlfn.IFS(D10&gt;=90%,7.5,D10&gt;=80%,6,D10&gt;=70%,4.5,D10&gt;=60%,3,D10&lt;60%,0)</f>
        <v>3</v>
      </c>
      <c r="F10" s="1" t="s">
        <v>40</v>
      </c>
      <c r="G10" s="1" t="s">
        <v>40</v>
      </c>
      <c r="H10" s="1" t="s">
        <v>40</v>
      </c>
      <c r="I10" s="1" t="s">
        <v>40</v>
      </c>
      <c r="J10" s="9" t="s">
        <v>39</v>
      </c>
      <c r="K10" s="9" t="s">
        <v>39</v>
      </c>
      <c r="L10" s="9" t="s">
        <v>39</v>
      </c>
      <c r="M10" s="1" t="s">
        <v>40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6">
        <f t="shared" si="2"/>
        <v>8</v>
      </c>
      <c r="B11" s="1">
        <v>23010601008</v>
      </c>
      <c r="C11" s="1" t="s">
        <v>11</v>
      </c>
      <c r="D11" s="10">
        <f t="shared" si="1"/>
        <v>0.5</v>
      </c>
      <c r="E11" s="1" cm="1">
        <f t="array" ref="E11">_xlfn.IFS(D11&gt;=90%,7.5,D11&gt;=80%,6,D11&gt;=70%,4.5,D11&gt;=60%,3,D11&lt;60%,0)</f>
        <v>0</v>
      </c>
      <c r="F11" s="9" t="s">
        <v>39</v>
      </c>
      <c r="G11" s="9" t="s">
        <v>39</v>
      </c>
      <c r="H11" s="1" t="s">
        <v>40</v>
      </c>
      <c r="I11" s="1" t="s">
        <v>40</v>
      </c>
      <c r="J11" s="9" t="s">
        <v>39</v>
      </c>
      <c r="K11" s="1" t="s">
        <v>40</v>
      </c>
      <c r="L11" s="1" t="s">
        <v>40</v>
      </c>
      <c r="M11" s="9" t="s">
        <v>39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 t="s">
        <v>40</v>
      </c>
      <c r="M12" s="1" t="s">
        <v>40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0.375</v>
      </c>
      <c r="E13" s="1" cm="1">
        <f t="array" ref="E13">_xlfn.IFS(D13&gt;=90%,7.5,D13&gt;=80%,6,D13&gt;=70%,4.5,D13&gt;=60%,3,D13&lt;60%,0)</f>
        <v>0</v>
      </c>
      <c r="F13" s="1" t="s">
        <v>40</v>
      </c>
      <c r="G13" s="9" t="s">
        <v>39</v>
      </c>
      <c r="H13" s="1" t="s">
        <v>40</v>
      </c>
      <c r="I13" s="9" t="s">
        <v>39</v>
      </c>
      <c r="J13" s="9" t="s">
        <v>39</v>
      </c>
      <c r="K13" s="9" t="s">
        <v>39</v>
      </c>
      <c r="L13" s="9" t="s">
        <v>39</v>
      </c>
      <c r="M13" s="1" t="s">
        <v>40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0.875</v>
      </c>
      <c r="E14" s="1" cm="1">
        <f t="array" ref="E14">_xlfn.IFS(D14&gt;=90%,7.5,D14&gt;=80%,6,D14&gt;=70%,4.5,D14&gt;=60%,3,D14&lt;60%,0)</f>
        <v>6</v>
      </c>
      <c r="F14" s="1" t="s">
        <v>40</v>
      </c>
      <c r="G14" s="1" t="s">
        <v>40</v>
      </c>
      <c r="H14" s="1" t="s">
        <v>40</v>
      </c>
      <c r="I14" s="1" t="s">
        <v>40</v>
      </c>
      <c r="J14" s="1" t="s">
        <v>40</v>
      </c>
      <c r="K14" s="9" t="s">
        <v>39</v>
      </c>
      <c r="L14" s="1" t="s">
        <v>40</v>
      </c>
      <c r="M14" s="1" t="s">
        <v>40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0.625</v>
      </c>
      <c r="E15" s="1" cm="1">
        <f t="array" ref="E15">_xlfn.IFS(D15&gt;=90%,7.5,D15&gt;=80%,6,D15&gt;=70%,4.5,D15&gt;=60%,3,D15&lt;60%,0)</f>
        <v>3</v>
      </c>
      <c r="F15" s="9" t="s">
        <v>39</v>
      </c>
      <c r="G15" s="9" t="s">
        <v>39</v>
      </c>
      <c r="H15" s="1" t="s">
        <v>40</v>
      </c>
      <c r="I15" s="1" t="s">
        <v>40</v>
      </c>
      <c r="J15" s="1" t="s">
        <v>40</v>
      </c>
      <c r="K15" s="9" t="s">
        <v>39</v>
      </c>
      <c r="L15" s="1" t="s">
        <v>40</v>
      </c>
      <c r="M15" s="1" t="s">
        <v>40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0.875</v>
      </c>
      <c r="E16" s="1" cm="1">
        <f t="array" ref="E16">_xlfn.IFS(D16&gt;=90%,7.5,D16&gt;=80%,6,D16&gt;=70%,4.5,D16&gt;=60%,3,D16&lt;60%,0)</f>
        <v>6</v>
      </c>
      <c r="F16" s="1" t="s">
        <v>40</v>
      </c>
      <c r="G16" s="1" t="s">
        <v>40</v>
      </c>
      <c r="H16" s="1" t="s">
        <v>40</v>
      </c>
      <c r="I16" s="1" t="s">
        <v>40</v>
      </c>
      <c r="J16" s="1" t="s">
        <v>40</v>
      </c>
      <c r="K16" s="9" t="s">
        <v>39</v>
      </c>
      <c r="L16" s="1" t="s">
        <v>40</v>
      </c>
      <c r="M16" s="1" t="s">
        <v>40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cm="1">
        <f t="array" ref="E17">_xlfn.IFS(D17&gt;=90%,7.5,D17&gt;=80%,6,D17&gt;=70%,4.5,D17&gt;=60%,3,D17&lt;60%,0)</f>
        <v>7.5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 t="s">
        <v>40</v>
      </c>
      <c r="M17" s="1" t="s">
        <v>40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</v>
      </c>
      <c r="E18" s="1" cm="1">
        <f t="array" ref="E18">_xlfn.IFS(D18&gt;=90%,7.5,D18&gt;=80%,6,D18&gt;=70%,4.5,D18&gt;=60%,3,D18&lt;60%,0)</f>
        <v>0</v>
      </c>
      <c r="F18" s="1" t="s">
        <v>40</v>
      </c>
      <c r="G18" s="9" t="s">
        <v>39</v>
      </c>
      <c r="H18" s="1" t="s">
        <v>40</v>
      </c>
      <c r="I18" s="1" t="s">
        <v>40</v>
      </c>
      <c r="J18" s="9" t="s">
        <v>39</v>
      </c>
      <c r="K18" s="9" t="s">
        <v>39</v>
      </c>
      <c r="L18" s="1" t="s">
        <v>40</v>
      </c>
      <c r="M18" s="9" t="s">
        <v>39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0.875</v>
      </c>
      <c r="E19" s="1" cm="1">
        <f t="array" ref="E19">_xlfn.IFS(D19&gt;=90%,7.5,D19&gt;=80%,6,D19&gt;=70%,4.5,D19&gt;=60%,3,D19&lt;60%,0)</f>
        <v>6</v>
      </c>
      <c r="F19" s="1" t="s">
        <v>40</v>
      </c>
      <c r="G19" s="1" t="s">
        <v>40</v>
      </c>
      <c r="H19" s="1" t="s">
        <v>40</v>
      </c>
      <c r="I19" s="1" t="s">
        <v>40</v>
      </c>
      <c r="J19" s="1" t="s">
        <v>40</v>
      </c>
      <c r="K19" s="9" t="s">
        <v>39</v>
      </c>
      <c r="L19" s="1" t="s">
        <v>40</v>
      </c>
      <c r="M19" s="1" t="s">
        <v>40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 t="s">
        <v>40</v>
      </c>
      <c r="M20" s="1" t="s">
        <v>40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0.875</v>
      </c>
      <c r="E21" s="1" cm="1">
        <f t="array" ref="E21">_xlfn.IFS(D21&gt;=90%,7.5,D21&gt;=80%,6,D21&gt;=70%,4.5,D21&gt;=60%,3,D21&lt;60%,0)</f>
        <v>6</v>
      </c>
      <c r="F21" s="9" t="s">
        <v>39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 t="s">
        <v>40</v>
      </c>
      <c r="M21" s="1" t="s">
        <v>40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0.75</v>
      </c>
      <c r="E22" s="1" cm="1">
        <f t="array" ref="E22">_xlfn.IFS(D22&gt;=90%,7.5,D22&gt;=80%,6,D22&gt;=70%,4.5,D22&gt;=60%,3,D22&lt;60%,0)</f>
        <v>4.5</v>
      </c>
      <c r="F22" s="9" t="s">
        <v>39</v>
      </c>
      <c r="G22" s="1" t="s">
        <v>40</v>
      </c>
      <c r="H22" s="1" t="s">
        <v>40</v>
      </c>
      <c r="I22" s="1" t="s">
        <v>40</v>
      </c>
      <c r="J22" s="9" t="s">
        <v>39</v>
      </c>
      <c r="K22" s="1" t="s">
        <v>40</v>
      </c>
      <c r="L22" s="1" t="s">
        <v>40</v>
      </c>
      <c r="M22" s="1" t="s">
        <v>40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0.75</v>
      </c>
      <c r="E23" s="1" cm="1">
        <f t="array" ref="E23">_xlfn.IFS(D23&gt;=90%,7.5,D23&gt;=80%,6,D23&gt;=70%,4.5,D23&gt;=60%,3,D23&lt;60%,0)</f>
        <v>4.5</v>
      </c>
      <c r="F23" s="9" t="s">
        <v>39</v>
      </c>
      <c r="G23" s="9" t="s">
        <v>39</v>
      </c>
      <c r="H23" s="1" t="s">
        <v>40</v>
      </c>
      <c r="I23" s="1" t="s">
        <v>40</v>
      </c>
      <c r="J23" s="1" t="s">
        <v>40</v>
      </c>
      <c r="K23" s="1" t="s">
        <v>40</v>
      </c>
      <c r="L23" s="1" t="s">
        <v>40</v>
      </c>
      <c r="M23" s="1" t="s">
        <v>40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0.625</v>
      </c>
      <c r="E24" s="1" cm="1">
        <f t="array" ref="E24">_xlfn.IFS(D24&gt;=90%,7.5,D24&gt;=80%,6,D24&gt;=70%,4.5,D24&gt;=60%,3,D24&lt;60%,0)</f>
        <v>3</v>
      </c>
      <c r="F24" s="9" t="s">
        <v>39</v>
      </c>
      <c r="G24" s="9" t="s">
        <v>39</v>
      </c>
      <c r="H24" s="1" t="s">
        <v>40</v>
      </c>
      <c r="I24" s="1" t="s">
        <v>40</v>
      </c>
      <c r="J24" s="1" t="s">
        <v>40</v>
      </c>
      <c r="K24" s="9" t="s">
        <v>39</v>
      </c>
      <c r="L24" s="1" t="s">
        <v>40</v>
      </c>
      <c r="M24" s="1" t="s">
        <v>40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0.625</v>
      </c>
      <c r="E25" s="1" cm="1">
        <f t="array" ref="E25">_xlfn.IFS(D25&gt;=90%,7.5,D25&gt;=80%,6,D25&gt;=70%,4.5,D25&gt;=60%,3,D25&lt;60%,0)</f>
        <v>3</v>
      </c>
      <c r="F25" s="9" t="s">
        <v>39</v>
      </c>
      <c r="G25" s="9" t="s">
        <v>39</v>
      </c>
      <c r="H25" s="1" t="s">
        <v>40</v>
      </c>
      <c r="I25" s="1" t="s">
        <v>40</v>
      </c>
      <c r="J25" s="1" t="s">
        <v>40</v>
      </c>
      <c r="K25" s="1" t="s">
        <v>40</v>
      </c>
      <c r="L25" s="1" t="s">
        <v>40</v>
      </c>
      <c r="M25" s="9" t="s">
        <v>39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0.75</v>
      </c>
      <c r="E26" s="1" cm="1">
        <f t="array" ref="E26">_xlfn.IFS(D26&gt;=90%,7.5,D26&gt;=80%,6,D26&gt;=70%,4.5,D26&gt;=60%,3,D26&lt;60%,0)</f>
        <v>4.5</v>
      </c>
      <c r="F26" s="1" t="s">
        <v>40</v>
      </c>
      <c r="G26" s="1" t="s">
        <v>40</v>
      </c>
      <c r="H26" s="1" t="s">
        <v>40</v>
      </c>
      <c r="I26" s="1" t="s">
        <v>40</v>
      </c>
      <c r="J26" s="9" t="s">
        <v>39</v>
      </c>
      <c r="K26" s="9" t="s">
        <v>39</v>
      </c>
      <c r="L26" s="1" t="s">
        <v>40</v>
      </c>
      <c r="M26" s="1" t="s">
        <v>40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0.375</v>
      </c>
      <c r="E27" s="1" cm="1">
        <f t="array" ref="E27">_xlfn.IFS(D27&gt;=90%,7.5,D27&gt;=80%,6,D27&gt;=70%,4.5,D27&gt;=60%,3,D27&lt;60%,0)</f>
        <v>0</v>
      </c>
      <c r="F27" s="9" t="s">
        <v>39</v>
      </c>
      <c r="G27" s="9" t="s">
        <v>39</v>
      </c>
      <c r="H27" s="1" t="s">
        <v>40</v>
      </c>
      <c r="I27" s="1" t="s">
        <v>40</v>
      </c>
      <c r="J27" s="1" t="s">
        <v>40</v>
      </c>
      <c r="K27" s="9" t="s">
        <v>39</v>
      </c>
      <c r="L27" s="9" t="s">
        <v>39</v>
      </c>
      <c r="M27" s="9" t="s">
        <v>39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0.75</v>
      </c>
      <c r="E28" s="1" cm="1">
        <f t="array" ref="E28">_xlfn.IFS(D28&gt;=90%,7.5,D28&gt;=80%,6,D28&gt;=70%,4.5,D28&gt;=60%,3,D28&lt;60%,0)</f>
        <v>4.5</v>
      </c>
      <c r="F28" s="1" t="s">
        <v>40</v>
      </c>
      <c r="G28" s="1" t="s">
        <v>40</v>
      </c>
      <c r="H28" s="1" t="s">
        <v>40</v>
      </c>
      <c r="I28" s="1" t="s">
        <v>40</v>
      </c>
      <c r="J28" s="9" t="s">
        <v>39</v>
      </c>
      <c r="K28" s="9" t="s">
        <v>39</v>
      </c>
      <c r="L28" s="1" t="s">
        <v>40</v>
      </c>
      <c r="M28" s="1" t="s">
        <v>40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0.75</v>
      </c>
      <c r="E29" s="1" cm="1">
        <f t="array" ref="E29">_xlfn.IFS(D29&gt;=90%,7.5,D29&gt;=80%,6,D29&gt;=70%,4.5,D29&gt;=60%,3,D29&lt;60%,0)</f>
        <v>4.5</v>
      </c>
      <c r="F29" s="9" t="s">
        <v>39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 t="s">
        <v>40</v>
      </c>
      <c r="M29" s="9" t="s">
        <v>39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0.75</v>
      </c>
      <c r="E30" s="1" cm="1">
        <f t="array" ref="E30">_xlfn.IFS(D30&gt;=90%,7.5,D30&gt;=80%,6,D30&gt;=70%,4.5,D30&gt;=60%,3,D30&lt;60%,0)</f>
        <v>4.5</v>
      </c>
      <c r="F30" s="9" t="s">
        <v>39</v>
      </c>
      <c r="G30" s="1" t="s">
        <v>40</v>
      </c>
      <c r="H30" s="1" t="s">
        <v>40</v>
      </c>
      <c r="I30" s="1" t="s">
        <v>40</v>
      </c>
      <c r="J30" s="1" t="s">
        <v>40</v>
      </c>
      <c r="K30" s="9" t="s">
        <v>39</v>
      </c>
      <c r="L30" s="1" t="s">
        <v>40</v>
      </c>
      <c r="M30" s="1" t="s">
        <v>40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0.375</v>
      </c>
      <c r="E31" s="1" cm="1">
        <f t="array" ref="E31">_xlfn.IFS(D31&gt;=90%,7.5,D31&gt;=80%,6,D31&gt;=70%,4.5,D31&gt;=60%,3,D31&lt;60%,0)</f>
        <v>0</v>
      </c>
      <c r="F31" s="9" t="s">
        <v>39</v>
      </c>
      <c r="G31" s="9" t="s">
        <v>39</v>
      </c>
      <c r="H31" s="1" t="s">
        <v>40</v>
      </c>
      <c r="I31" s="1" t="s">
        <v>40</v>
      </c>
      <c r="J31" s="1" t="s">
        <v>40</v>
      </c>
      <c r="K31" s="9" t="s">
        <v>39</v>
      </c>
      <c r="L31" s="9" t="s">
        <v>39</v>
      </c>
      <c r="M31" s="9" t="s">
        <v>39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cm="1">
        <f t="array" ref="E32">_xlfn.IFS(D32&gt;=90%,7.5,D32&gt;=80%,6,D32&gt;=70%,4.5,D32&gt;=60%,3,D32&lt;60%,0)</f>
        <v>7.5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 t="s">
        <v>40</v>
      </c>
      <c r="M32" s="1" t="s">
        <v>40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0.875</v>
      </c>
      <c r="E33" s="1" cm="1">
        <f t="array" ref="E33">_xlfn.IFS(D33&gt;=90%,7.5,D33&gt;=80%,6,D33&gt;=70%,4.5,D33&gt;=60%,3,D33&lt;60%,0)</f>
        <v>6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 t="s">
        <v>40</v>
      </c>
      <c r="M33" s="9" t="s">
        <v>39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0.625</v>
      </c>
      <c r="E34" s="1" cm="1">
        <f t="array" ref="E34">_xlfn.IFS(D34&gt;=90%,7.5,D34&gt;=80%,6,D34&gt;=70%,4.5,D34&gt;=60%,3,D34&lt;60%,0)</f>
        <v>3</v>
      </c>
      <c r="F34" s="9" t="s">
        <v>39</v>
      </c>
      <c r="G34" s="1" t="s">
        <v>40</v>
      </c>
      <c r="H34" s="1" t="s">
        <v>40</v>
      </c>
      <c r="I34" s="1" t="s">
        <v>40</v>
      </c>
      <c r="J34" s="9" t="s">
        <v>39</v>
      </c>
      <c r="K34" s="1" t="s">
        <v>40</v>
      </c>
      <c r="L34" s="1" t="s">
        <v>40</v>
      </c>
      <c r="M34" s="9" t="s">
        <v>39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0.625</v>
      </c>
      <c r="E35" s="1" cm="1">
        <f t="array" ref="E35">_xlfn.IFS(D35&gt;=90%,7.5,D35&gt;=80%,6,D35&gt;=70%,4.5,D35&gt;=60%,3,D35&lt;60%,0)</f>
        <v>3</v>
      </c>
      <c r="F35" s="9" t="s">
        <v>39</v>
      </c>
      <c r="G35" s="9" t="s">
        <v>39</v>
      </c>
      <c r="H35" s="1" t="s">
        <v>40</v>
      </c>
      <c r="I35" s="1" t="s">
        <v>40</v>
      </c>
      <c r="J35" s="1" t="s">
        <v>40</v>
      </c>
      <c r="K35" s="1" t="s">
        <v>40</v>
      </c>
      <c r="L35" s="1" t="s">
        <v>40</v>
      </c>
      <c r="M35" s="9" t="s">
        <v>39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0.875</v>
      </c>
      <c r="E36" s="1" cm="1">
        <f t="array" ref="E36">_xlfn.IFS(D36&gt;=90%,7.5,D36&gt;=80%,6,D36&gt;=70%,4.5,D36&gt;=60%,3,D36&lt;60%,0)</f>
        <v>6</v>
      </c>
      <c r="F36" s="1" t="s">
        <v>40</v>
      </c>
      <c r="G36" s="1" t="s">
        <v>40</v>
      </c>
      <c r="H36" s="1" t="s">
        <v>40</v>
      </c>
      <c r="I36" s="1" t="s">
        <v>40</v>
      </c>
      <c r="J36" s="1" t="s">
        <v>40</v>
      </c>
      <c r="K36" s="9" t="s">
        <v>39</v>
      </c>
      <c r="L36" s="1" t="s">
        <v>40</v>
      </c>
      <c r="M36" s="1" t="s">
        <v>40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0.125</v>
      </c>
      <c r="E37" s="1" cm="1">
        <f t="array" ref="E37">_xlfn.IFS(D37&gt;=90%,7.5,D37&gt;=80%,6,D37&gt;=70%,4.5,D37&gt;=60%,3,D37&lt;60%,0)</f>
        <v>0</v>
      </c>
      <c r="F37" s="9" t="s">
        <v>39</v>
      </c>
      <c r="G37" s="9" t="s">
        <v>39</v>
      </c>
      <c r="H37" s="9" t="s">
        <v>39</v>
      </c>
      <c r="I37" s="9" t="s">
        <v>39</v>
      </c>
      <c r="J37" s="9" t="s">
        <v>39</v>
      </c>
      <c r="K37" s="1" t="s">
        <v>40</v>
      </c>
      <c r="L37" s="9" t="s">
        <v>39</v>
      </c>
      <c r="M37" s="9" t="s">
        <v>39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</sheetData>
  <autoFilter ref="A3:J3" xr:uid="{00000000-0001-0000-0000-000000000000}"/>
  <mergeCells count="1">
    <mergeCell ref="A1:B1"/>
  </mergeCells>
  <conditionalFormatting sqref="D4">
    <cfRule type="cellIs" dxfId="7" priority="8" operator="greaterThan">
      <formula>0.9</formula>
    </cfRule>
    <cfRule type="cellIs" dxfId="6" priority="9" operator="between">
      <formula>0.6</formula>
      <formula>0.89</formula>
    </cfRule>
  </conditionalFormatting>
  <conditionalFormatting sqref="D4:D37">
    <cfRule type="cellIs" dxfId="5" priority="4" operator="lessThan">
      <formula>0.6</formula>
    </cfRule>
  </conditionalFormatting>
  <conditionalFormatting sqref="D5:D37">
    <cfRule type="cellIs" dxfId="4" priority="5" operator="between">
      <formula>0.6</formula>
      <formula>0.79</formula>
    </cfRule>
    <cfRule type="cellIs" dxfId="3" priority="6" operator="greaterThan">
      <formula>0.79</formula>
    </cfRule>
  </conditionalFormatting>
  <conditionalFormatting sqref="E4:E37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7" t="s">
        <v>37</v>
      </c>
      <c r="B1" s="17"/>
      <c r="C1" s="6" t="s">
        <v>38</v>
      </c>
      <c r="D1" s="12" t="s">
        <v>50</v>
      </c>
      <c r="E1" s="12" t="s">
        <v>51</v>
      </c>
      <c r="F1" s="18" t="s">
        <v>48</v>
      </c>
      <c r="G1" s="18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8"/>
      <c r="G2" s="18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2026-09-13T03:41:29Z</dcterms:modified>
</cp:coreProperties>
</file>