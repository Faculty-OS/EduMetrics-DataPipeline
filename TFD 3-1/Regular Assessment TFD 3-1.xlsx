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ssessment\TFD 3-1\"/>
    </mc:Choice>
  </mc:AlternateContent>
  <xr:revisionPtr revIDLastSave="0" documentId="13_ncr:1_{F2AEBE1B-076A-4CF1-A959-E33473689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FD 3-1 Attendance" sheetId="4" r:id="rId1"/>
    <sheet name="Assessment" sheetId="5" r:id="rId2"/>
  </sheets>
  <definedNames>
    <definedName name="_xlnm._FilterDatabase" localSheetId="1" hidden="1">Assessment!$A$3:$C$3</definedName>
    <definedName name="_xlnm._FilterDatabase" localSheetId="0" hidden="1">'TFD 3-1 Attendance'!$A$3:$F$31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E5" i="4" s="1" a="1"/>
  <c r="E5" i="4" s="1"/>
  <c r="D6" i="4"/>
  <c r="E6" i="4" s="1" a="1"/>
  <c r="E6" i="4" s="1"/>
  <c r="D7" i="4"/>
  <c r="E7" i="4" s="1" a="1"/>
  <c r="E7" i="4" s="1"/>
  <c r="D8" i="4"/>
  <c r="E8" i="4" s="1" a="1"/>
  <c r="E8" i="4" s="1"/>
  <c r="D9" i="4"/>
  <c r="E9" i="4" s="1" a="1"/>
  <c r="E9" i="4" s="1"/>
  <c r="D10" i="4"/>
  <c r="E10" i="4" s="1" a="1"/>
  <c r="E10" i="4" s="1"/>
  <c r="D11" i="4"/>
  <c r="E11" i="4" s="1" a="1"/>
  <c r="E11" i="4" s="1"/>
  <c r="D12" i="4"/>
  <c r="E12" i="4" s="1" a="1"/>
  <c r="E12" i="4" s="1"/>
  <c r="D13" i="4"/>
  <c r="E13" i="4" s="1" a="1"/>
  <c r="E13" i="4" s="1"/>
  <c r="D14" i="4"/>
  <c r="E14" i="4" s="1" a="1"/>
  <c r="E14" i="4" s="1"/>
  <c r="D15" i="4"/>
  <c r="E15" i="4" s="1" a="1"/>
  <c r="E15" i="4" s="1"/>
  <c r="D16" i="4"/>
  <c r="E16" i="4" s="1" a="1"/>
  <c r="E16" i="4" s="1"/>
  <c r="D17" i="4"/>
  <c r="E17" i="4" s="1" a="1"/>
  <c r="E17" i="4" s="1"/>
  <c r="D18" i="4"/>
  <c r="E18" i="4" s="1" a="1"/>
  <c r="E18" i="4" s="1"/>
  <c r="D19" i="4"/>
  <c r="E19" i="4" s="1" a="1"/>
  <c r="E19" i="4" s="1"/>
  <c r="D20" i="4"/>
  <c r="E20" i="4" s="1" a="1"/>
  <c r="E20" i="4" s="1"/>
  <c r="D21" i="4"/>
  <c r="E21" i="4" s="1" a="1"/>
  <c r="E21" i="4" s="1"/>
  <c r="D22" i="4"/>
  <c r="E22" i="4" s="1" a="1"/>
  <c r="E22" i="4" s="1"/>
  <c r="D23" i="4"/>
  <c r="E23" i="4" s="1" a="1"/>
  <c r="E23" i="4" s="1"/>
  <c r="D24" i="4"/>
  <c r="E24" i="4" s="1" a="1"/>
  <c r="E24" i="4" s="1"/>
  <c r="D25" i="4"/>
  <c r="E25" i="4" s="1" a="1"/>
  <c r="E25" i="4" s="1"/>
  <c r="D26" i="4"/>
  <c r="E26" i="4" s="1" a="1"/>
  <c r="E26" i="4" s="1"/>
  <c r="D27" i="4"/>
  <c r="E27" i="4" s="1" a="1"/>
  <c r="E27" i="4" s="1"/>
  <c r="D28" i="4"/>
  <c r="E28" i="4" s="1" a="1"/>
  <c r="E28" i="4" s="1"/>
  <c r="D29" i="4"/>
  <c r="E29" i="4" s="1" a="1"/>
  <c r="E29" i="4" s="1"/>
  <c r="D30" i="4"/>
  <c r="E30" i="4" s="1" a="1"/>
  <c r="E30" i="4" s="1"/>
  <c r="D31" i="4"/>
  <c r="E31" i="4" s="1" a="1"/>
  <c r="E31" i="4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I18" i="5"/>
  <c r="H18" i="5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I6" i="5"/>
  <c r="H6" i="5"/>
  <c r="H5" i="5"/>
  <c r="I5" i="5" s="1"/>
  <c r="H4" i="5"/>
  <c r="I4" i="5" s="1"/>
  <c r="A5" i="5" l="1"/>
  <c r="A6" i="5" s="1"/>
  <c r="A7" i="5" s="1"/>
  <c r="D4" i="4"/>
  <c r="E4" i="4" s="1" a="1"/>
  <c r="E4" i="4" s="1"/>
  <c r="G2" i="4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5" i="4"/>
  <c r="B2" i="5" l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B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<sst xmlns="http://schemas.openxmlformats.org/spreadsheetml/2006/main" count="200" uniqueCount="51">
  <si>
    <t>SL</t>
  </si>
  <si>
    <t>Students ID</t>
  </si>
  <si>
    <t>Students Name</t>
  </si>
  <si>
    <t>ANANYA TALUKDER</t>
  </si>
  <si>
    <t>SWASTIKA TALUKDER</t>
  </si>
  <si>
    <t>KHANDAKAR TAMIM RAHMAN</t>
  </si>
  <si>
    <t>SADMAN SAKIB</t>
  </si>
  <si>
    <t>MOSSAMMAT LAMIA ALAM</t>
  </si>
  <si>
    <t>MD. TAOHIDUL ISLAM</t>
  </si>
  <si>
    <t>MD. SHADMAN SAKIB RAHMAN</t>
  </si>
  <si>
    <t>MASRUR KHAN</t>
  </si>
  <si>
    <t>MOHAMMAD MUSHFIQUE KHAN</t>
  </si>
  <si>
    <t>MIRZA RAYDA</t>
  </si>
  <si>
    <t>MD. MUSTABA MAHODI KABBO</t>
  </si>
  <si>
    <t>MD. ASHFAT HOSSAIN RIFAT</t>
  </si>
  <si>
    <t>CHOWDHURY ALIF AL NAEEM</t>
  </si>
  <si>
    <t>AR RAFI SOUM</t>
  </si>
  <si>
    <t>OVI CHANDRA DASH</t>
  </si>
  <si>
    <t>MUGDHATA DUTTA</t>
  </si>
  <si>
    <t>NOOR ALAM JAMADER</t>
  </si>
  <si>
    <t>TAWFIQUR RAHMAN AYMAN</t>
  </si>
  <si>
    <t>KANIJ NAJIA</t>
  </si>
  <si>
    <t>SREE SUBROTO KUMAR</t>
  </si>
  <si>
    <t>ARAFAT AHMAD DIP</t>
  </si>
  <si>
    <t>YANTEE ANAM</t>
  </si>
  <si>
    <t>SANZIDA ALAM</t>
  </si>
  <si>
    <t>MD MEHERAZ UDDIN</t>
  </si>
  <si>
    <t>SREE SOUGATO GHOSH</t>
  </si>
  <si>
    <t>MD. MITHU MIA</t>
  </si>
  <si>
    <t>SAKIA HAIDER AJHORA</t>
  </si>
  <si>
    <t>SUJIT ROY</t>
  </si>
  <si>
    <t>2021-1-6-017</t>
  </si>
  <si>
    <t>YAISHIK DUTTA</t>
  </si>
  <si>
    <t>2021-1-6-028</t>
  </si>
  <si>
    <t>DEBASHIS MISTRY</t>
  </si>
  <si>
    <t>NOS</t>
  </si>
  <si>
    <t>NOC</t>
  </si>
  <si>
    <t>TFD 2-1</t>
  </si>
  <si>
    <t>BATCH 50</t>
  </si>
  <si>
    <t>Attendance%</t>
  </si>
  <si>
    <t>Assignment 1</t>
  </si>
  <si>
    <t>Assignmnet 2</t>
  </si>
  <si>
    <t>Assignment 3</t>
  </si>
  <si>
    <t>Assignmnet 4</t>
  </si>
  <si>
    <t>Total</t>
  </si>
  <si>
    <t>Knitting Action</t>
  </si>
  <si>
    <t>5</t>
  </si>
  <si>
    <t>A</t>
  </si>
  <si>
    <t>P</t>
  </si>
  <si>
    <t>TFD 3-1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</si>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</sst>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sz val="12"/>
      <color theme="1"/>
      <name val="Calibri"/>
      <family val="2"/>
      <scheme val="minor"/>
    </font>
    <font>
      <b/>
      <sz val="12"/>
      <color theme="1"/>
      <name val="Gill Sans MT"/>
      <family val="2"/>
    </font>
    <font>
      <b/>
      <sz val="12"/>
      <color rgb="FF000000"/>
      <name val="Gill Sans MT"/>
      <family val="2"/>
    </font>
    <font>
      <sz val="12"/>
      <color rgb="FF000000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10" borderId="0" applyNumberFormat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10" borderId="1" xfId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zoomScale="95" workbookViewId="0">
      <pane xSplit="5" ySplit="3" topLeftCell="H15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defaultRowHeight="19.2" x14ac:dyDescent="0.5"/>
  <cols>
    <col min="1" max="1" width="8.109375" style="11" bestFit="1" customWidth="1"/>
    <col min="2" max="2" width="18.109375" style="11" bestFit="1" customWidth="1"/>
    <col min="3" max="3" width="34.6640625" style="11" bestFit="1" customWidth="1"/>
    <col min="4" max="4" width="20.109375" style="11" bestFit="1" customWidth="1"/>
    <col min="5" max="5" width="12" style="21" bestFit="1" customWidth="1"/>
    <col min="6" max="6" width="39.33203125" style="11" bestFit="1" customWidth="1"/>
    <col min="7" max="7" width="30.77734375" style="18" customWidth="1"/>
    <col min="8" max="8" width="35.6640625" style="18" bestFit="1" customWidth="1"/>
    <col min="9" max="9" width="31.33203125" style="18" bestFit="1" customWidth="1"/>
    <col min="10" max="25" width="20.77734375" style="18" customWidth="1"/>
    <col min="26" max="16384" width="8.88671875" style="18"/>
  </cols>
  <sheetData>
    <row r="1" spans="1:25" x14ac:dyDescent="0.5">
      <c r="A1" s="22" t="s">
        <v>49</v>
      </c>
      <c r="B1" s="22"/>
      <c r="C1" s="7" t="s">
        <v>38</v>
      </c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5">
      <c r="A2" s="7" t="s">
        <v>35</v>
      </c>
      <c r="B2" s="7">
        <f>COUNT(A4:A31)</f>
        <v>28</v>
      </c>
      <c r="C2" s="7" t="s">
        <v>36</v>
      </c>
      <c r="D2" s="7"/>
      <c r="E2" s="7"/>
      <c r="F2" s="9">
        <v>1</v>
      </c>
      <c r="G2" s="9">
        <f>F2+1</f>
        <v>2</v>
      </c>
      <c r="H2" s="9">
        <f t="shared" ref="H2:Y2" si="0">G2+1</f>
        <v>3</v>
      </c>
      <c r="I2" s="9">
        <f t="shared" si="0"/>
        <v>4</v>
      </c>
      <c r="J2" s="9">
        <f t="shared" si="0"/>
        <v>5</v>
      </c>
      <c r="K2" s="9">
        <f t="shared" si="0"/>
        <v>6</v>
      </c>
      <c r="L2" s="9">
        <f t="shared" si="0"/>
        <v>7</v>
      </c>
      <c r="M2" s="9">
        <f t="shared" si="0"/>
        <v>8</v>
      </c>
      <c r="N2" s="9">
        <f t="shared" si="0"/>
        <v>9</v>
      </c>
      <c r="O2" s="9">
        <f t="shared" si="0"/>
        <v>10</v>
      </c>
      <c r="P2" s="9">
        <f t="shared" si="0"/>
        <v>11</v>
      </c>
      <c r="Q2" s="9">
        <f t="shared" si="0"/>
        <v>12</v>
      </c>
      <c r="R2" s="9">
        <f t="shared" si="0"/>
        <v>13</v>
      </c>
      <c r="S2" s="9">
        <f t="shared" si="0"/>
        <v>14</v>
      </c>
      <c r="T2" s="9">
        <f t="shared" si="0"/>
        <v>15</v>
      </c>
      <c r="U2" s="9">
        <f t="shared" si="0"/>
        <v>16</v>
      </c>
      <c r="V2" s="9">
        <f t="shared" si="0"/>
        <v>17</v>
      </c>
      <c r="W2" s="9">
        <f t="shared" si="0"/>
        <v>18</v>
      </c>
      <c r="X2" s="9">
        <f t="shared" si="0"/>
        <v>19</v>
      </c>
      <c r="Y2" s="9">
        <f t="shared" si="0"/>
        <v>20</v>
      </c>
    </row>
    <row r="3" spans="1:25" s="19" customFormat="1" x14ac:dyDescent="0.3">
      <c r="A3" s="4" t="s">
        <v>0</v>
      </c>
      <c r="B3" s="4" t="s">
        <v>1</v>
      </c>
      <c r="C3" s="4" t="s">
        <v>2</v>
      </c>
      <c r="D3" s="4" t="s">
        <v>39</v>
      </c>
      <c r="E3" s="4" t="s">
        <v>50</v>
      </c>
      <c r="F3" s="5">
        <v>46267</v>
      </c>
      <c r="G3" s="5">
        <v>46271</v>
      </c>
      <c r="H3" s="5">
        <v>46274</v>
      </c>
      <c r="I3" s="5">
        <v>46278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5">
      <c r="A4" s="1">
        <v>1</v>
      </c>
      <c r="B4" s="1">
        <v>24010601001</v>
      </c>
      <c r="C4" s="1" t="s">
        <v>3</v>
      </c>
      <c r="D4" s="10">
        <f t="shared" ref="D4:D31" si="1">COUNTIF(F4:Y4,"P")/(COUNTIF(F4:Y4,"P")+COUNTIF(F4:Y4,"A"))</f>
        <v>1</v>
      </c>
      <c r="E4" s="1" cm="1">
        <f t="array" ref="E4">_xlfn.IFS(D4&gt;=90%,7.5,D4&gt;=80%,6,D4&gt;=70%,4.5,D4&gt;=60%,3,D4&lt;60%,0)</f>
        <v>7.5</v>
      </c>
      <c r="F4" s="1" t="s">
        <v>48</v>
      </c>
      <c r="G4" s="20" t="s">
        <v>48</v>
      </c>
      <c r="H4" s="20" t="s">
        <v>48</v>
      </c>
      <c r="I4" s="20" t="s">
        <v>48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x14ac:dyDescent="0.5">
      <c r="A5" s="1">
        <f>A4+1</f>
        <v>2</v>
      </c>
      <c r="B5" s="1">
        <v>24010601003</v>
      </c>
      <c r="C5" s="1" t="s">
        <v>4</v>
      </c>
      <c r="D5" s="10">
        <f t="shared" si="1"/>
        <v>1</v>
      </c>
      <c r="E5" s="1" cm="1">
        <f t="array" ref="E5">_xlfn.IFS(D5&gt;=90%,7.5,D5&gt;=80%,6,D5&gt;=70%,4.5,D5&gt;=60%,3,D5&lt;60%,0)</f>
        <v>7.5</v>
      </c>
      <c r="F5" s="1" t="s">
        <v>48</v>
      </c>
      <c r="G5" s="20" t="s">
        <v>48</v>
      </c>
      <c r="H5" s="20" t="s">
        <v>48</v>
      </c>
      <c r="I5" s="20" t="s">
        <v>48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x14ac:dyDescent="0.5">
      <c r="A6" s="1">
        <f t="shared" ref="A6:A31" si="2">A5+1</f>
        <v>3</v>
      </c>
      <c r="B6" s="1">
        <v>24010601004</v>
      </c>
      <c r="C6" s="1" t="s">
        <v>5</v>
      </c>
      <c r="D6" s="10">
        <f t="shared" si="1"/>
        <v>1</v>
      </c>
      <c r="E6" s="1" cm="1">
        <f t="array" ref="E6">_xlfn.IFS(D6&gt;=90%,7.5,D6&gt;=80%,6,D6&gt;=70%,4.5,D6&gt;=60%,3,D6&lt;60%,0)</f>
        <v>7.5</v>
      </c>
      <c r="F6" s="1" t="s">
        <v>48</v>
      </c>
      <c r="G6" s="20" t="s">
        <v>48</v>
      </c>
      <c r="H6" s="20" t="s">
        <v>48</v>
      </c>
      <c r="I6" s="20" t="s">
        <v>48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x14ac:dyDescent="0.5">
      <c r="A7" s="1">
        <f t="shared" si="2"/>
        <v>4</v>
      </c>
      <c r="B7" s="1">
        <v>24010601005</v>
      </c>
      <c r="C7" s="1" t="s">
        <v>6</v>
      </c>
      <c r="D7" s="10">
        <f t="shared" si="1"/>
        <v>1</v>
      </c>
      <c r="E7" s="1" cm="1">
        <f t="array" ref="E7">_xlfn.IFS(D7&gt;=90%,7.5,D7&gt;=80%,6,D7&gt;=70%,4.5,D7&gt;=60%,3,D7&lt;60%,0)</f>
        <v>7.5</v>
      </c>
      <c r="F7" s="1" t="s">
        <v>48</v>
      </c>
      <c r="G7" s="20" t="s">
        <v>48</v>
      </c>
      <c r="H7" s="20" t="s">
        <v>48</v>
      </c>
      <c r="I7" s="20" t="s">
        <v>48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x14ac:dyDescent="0.5">
      <c r="A8" s="1">
        <f t="shared" si="2"/>
        <v>5</v>
      </c>
      <c r="B8" s="1">
        <v>24010601006</v>
      </c>
      <c r="C8" s="1" t="s">
        <v>7</v>
      </c>
      <c r="D8" s="10">
        <f t="shared" si="1"/>
        <v>1</v>
      </c>
      <c r="E8" s="1" cm="1">
        <f t="array" ref="E8">_xlfn.IFS(D8&gt;=90%,7.5,D8&gt;=80%,6,D8&gt;=70%,4.5,D8&gt;=60%,3,D8&lt;60%,0)</f>
        <v>7.5</v>
      </c>
      <c r="F8" s="1" t="s">
        <v>48</v>
      </c>
      <c r="G8" s="20" t="s">
        <v>48</v>
      </c>
      <c r="H8" s="20" t="s">
        <v>48</v>
      </c>
      <c r="I8" s="20" t="s">
        <v>48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x14ac:dyDescent="0.5">
      <c r="A9" s="1">
        <f t="shared" si="2"/>
        <v>6</v>
      </c>
      <c r="B9" s="1">
        <v>24010601009</v>
      </c>
      <c r="C9" s="1" t="s">
        <v>8</v>
      </c>
      <c r="D9" s="10">
        <f t="shared" si="1"/>
        <v>1</v>
      </c>
      <c r="E9" s="1" cm="1">
        <f t="array" ref="E9">_xlfn.IFS(D9&gt;=90%,7.5,D9&gt;=80%,6,D9&gt;=70%,4.5,D9&gt;=60%,3,D9&lt;60%,0)</f>
        <v>7.5</v>
      </c>
      <c r="F9" s="1" t="s">
        <v>48</v>
      </c>
      <c r="G9" s="20" t="s">
        <v>48</v>
      </c>
      <c r="H9" s="20" t="s">
        <v>48</v>
      </c>
      <c r="I9" s="20" t="s">
        <v>48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x14ac:dyDescent="0.5">
      <c r="A10" s="1">
        <f t="shared" si="2"/>
        <v>7</v>
      </c>
      <c r="B10" s="1">
        <v>24010601011</v>
      </c>
      <c r="C10" s="1" t="s">
        <v>10</v>
      </c>
      <c r="D10" s="10">
        <f t="shared" si="1"/>
        <v>0.25</v>
      </c>
      <c r="E10" s="1" cm="1">
        <f t="array" ref="E10">_xlfn.IFS(D10&gt;=90%,7.5,D10&gt;=80%,6,D10&gt;=70%,4.5,D10&gt;=60%,3,D10&lt;60%,0)</f>
        <v>0</v>
      </c>
      <c r="F10" s="1" t="s">
        <v>48</v>
      </c>
      <c r="G10" s="17" t="s">
        <v>47</v>
      </c>
      <c r="H10" s="17" t="s">
        <v>47</v>
      </c>
      <c r="I10" s="17" t="s">
        <v>47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x14ac:dyDescent="0.5">
      <c r="A11" s="1">
        <f t="shared" si="2"/>
        <v>8</v>
      </c>
      <c r="B11" s="1">
        <v>24010601014</v>
      </c>
      <c r="C11" s="1" t="s">
        <v>11</v>
      </c>
      <c r="D11" s="10">
        <f t="shared" si="1"/>
        <v>1</v>
      </c>
      <c r="E11" s="1" cm="1">
        <f t="array" ref="E11">_xlfn.IFS(D11&gt;=90%,7.5,D11&gt;=80%,6,D11&gt;=70%,4.5,D11&gt;=60%,3,D11&lt;60%,0)</f>
        <v>7.5</v>
      </c>
      <c r="F11" s="1" t="s">
        <v>48</v>
      </c>
      <c r="G11" s="20" t="s">
        <v>48</v>
      </c>
      <c r="H11" s="20" t="s">
        <v>48</v>
      </c>
      <c r="I11" s="20" t="s">
        <v>48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x14ac:dyDescent="0.5">
      <c r="A12" s="1">
        <f t="shared" si="2"/>
        <v>9</v>
      </c>
      <c r="B12" s="1">
        <v>24010601015</v>
      </c>
      <c r="C12" s="1" t="s">
        <v>12</v>
      </c>
      <c r="D12" s="10">
        <f t="shared" si="1"/>
        <v>1</v>
      </c>
      <c r="E12" s="1" cm="1">
        <f t="array" ref="E12">_xlfn.IFS(D12&gt;=90%,7.5,D12&gt;=80%,6,D12&gt;=70%,4.5,D12&gt;=60%,3,D12&lt;60%,0)</f>
        <v>7.5</v>
      </c>
      <c r="F12" s="1" t="s">
        <v>48</v>
      </c>
      <c r="G12" s="20" t="s">
        <v>48</v>
      </c>
      <c r="H12" s="20" t="s">
        <v>48</v>
      </c>
      <c r="I12" s="20" t="s">
        <v>48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x14ac:dyDescent="0.5">
      <c r="A13" s="1">
        <f t="shared" si="2"/>
        <v>10</v>
      </c>
      <c r="B13" s="1">
        <v>24010601017</v>
      </c>
      <c r="C13" s="1" t="s">
        <v>14</v>
      </c>
      <c r="D13" s="10">
        <f t="shared" si="1"/>
        <v>0.75</v>
      </c>
      <c r="E13" s="1" cm="1">
        <f t="array" ref="E13">_xlfn.IFS(D13&gt;=90%,7.5,D13&gt;=80%,6,D13&gt;=70%,4.5,D13&gt;=60%,3,D13&lt;60%,0)</f>
        <v>4.5</v>
      </c>
      <c r="F13" s="1" t="s">
        <v>48</v>
      </c>
      <c r="G13" s="17" t="s">
        <v>47</v>
      </c>
      <c r="H13" s="20" t="s">
        <v>48</v>
      </c>
      <c r="I13" s="20" t="s">
        <v>48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x14ac:dyDescent="0.5">
      <c r="A14" s="1">
        <f t="shared" si="2"/>
        <v>11</v>
      </c>
      <c r="B14" s="1">
        <v>24010601018</v>
      </c>
      <c r="C14" s="1" t="s">
        <v>15</v>
      </c>
      <c r="D14" s="10">
        <f t="shared" si="1"/>
        <v>1</v>
      </c>
      <c r="E14" s="1" cm="1">
        <f t="array" ref="E14">_xlfn.IFS(D14&gt;=90%,7.5,D14&gt;=80%,6,D14&gt;=70%,4.5,D14&gt;=60%,3,D14&lt;60%,0)</f>
        <v>7.5</v>
      </c>
      <c r="F14" s="1" t="s">
        <v>48</v>
      </c>
      <c r="G14" s="20" t="s">
        <v>48</v>
      </c>
      <c r="H14" s="20" t="s">
        <v>48</v>
      </c>
      <c r="I14" s="20" t="s">
        <v>48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x14ac:dyDescent="0.5">
      <c r="A15" s="1">
        <f t="shared" si="2"/>
        <v>12</v>
      </c>
      <c r="B15" s="1">
        <v>24010601019</v>
      </c>
      <c r="C15" s="1" t="s">
        <v>16</v>
      </c>
      <c r="D15" s="10">
        <f t="shared" si="1"/>
        <v>0.75</v>
      </c>
      <c r="E15" s="1" cm="1">
        <f t="array" ref="E15">_xlfn.IFS(D15&gt;=90%,7.5,D15&gt;=80%,6,D15&gt;=70%,4.5,D15&gt;=60%,3,D15&lt;60%,0)</f>
        <v>4.5</v>
      </c>
      <c r="F15" s="1" t="s">
        <v>48</v>
      </c>
      <c r="G15" s="20" t="s">
        <v>48</v>
      </c>
      <c r="H15" s="17" t="s">
        <v>47</v>
      </c>
      <c r="I15" s="20" t="s">
        <v>48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x14ac:dyDescent="0.5">
      <c r="A16" s="1">
        <f t="shared" si="2"/>
        <v>13</v>
      </c>
      <c r="B16" s="1">
        <v>24010601022</v>
      </c>
      <c r="C16" s="1" t="s">
        <v>17</v>
      </c>
      <c r="D16" s="10">
        <f t="shared" si="1"/>
        <v>0.75</v>
      </c>
      <c r="E16" s="1" cm="1">
        <f t="array" ref="E16">_xlfn.IFS(D16&gt;=90%,7.5,D16&gt;=80%,6,D16&gt;=70%,4.5,D16&gt;=60%,3,D16&lt;60%,0)</f>
        <v>4.5</v>
      </c>
      <c r="F16" s="17" t="s">
        <v>47</v>
      </c>
      <c r="G16" s="20" t="s">
        <v>48</v>
      </c>
      <c r="H16" s="20" t="s">
        <v>48</v>
      </c>
      <c r="I16" s="20" t="s">
        <v>48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x14ac:dyDescent="0.5">
      <c r="A17" s="1">
        <f t="shared" si="2"/>
        <v>14</v>
      </c>
      <c r="B17" s="1">
        <v>24010601023</v>
      </c>
      <c r="C17" s="1" t="s">
        <v>18</v>
      </c>
      <c r="D17" s="10">
        <f t="shared" si="1"/>
        <v>0.75</v>
      </c>
      <c r="E17" s="1" cm="1">
        <f t="array" ref="E17">_xlfn.IFS(D17&gt;=90%,7.5,D17&gt;=80%,6,D17&gt;=70%,4.5,D17&gt;=60%,3,D17&lt;60%,0)</f>
        <v>4.5</v>
      </c>
      <c r="F17" s="1" t="s">
        <v>48</v>
      </c>
      <c r="G17" s="17" t="s">
        <v>47</v>
      </c>
      <c r="H17" s="20" t="s">
        <v>48</v>
      </c>
      <c r="I17" s="20" t="s">
        <v>48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x14ac:dyDescent="0.5">
      <c r="A18" s="1">
        <f t="shared" si="2"/>
        <v>15</v>
      </c>
      <c r="B18" s="1">
        <v>24010601024</v>
      </c>
      <c r="C18" s="1" t="s">
        <v>19</v>
      </c>
      <c r="D18" s="10">
        <f t="shared" si="1"/>
        <v>0.75</v>
      </c>
      <c r="E18" s="1" cm="1">
        <f t="array" ref="E18">_xlfn.IFS(D18&gt;=90%,7.5,D18&gt;=80%,6,D18&gt;=70%,4.5,D18&gt;=60%,3,D18&lt;60%,0)</f>
        <v>4.5</v>
      </c>
      <c r="F18" s="1" t="s">
        <v>48</v>
      </c>
      <c r="G18" s="17" t="s">
        <v>47</v>
      </c>
      <c r="H18" s="20" t="s">
        <v>48</v>
      </c>
      <c r="I18" s="20" t="s">
        <v>48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x14ac:dyDescent="0.5">
      <c r="A19" s="1">
        <f t="shared" si="2"/>
        <v>16</v>
      </c>
      <c r="B19" s="1">
        <v>24010601025</v>
      </c>
      <c r="C19" s="1" t="s">
        <v>20</v>
      </c>
      <c r="D19" s="10">
        <f t="shared" si="1"/>
        <v>0.75</v>
      </c>
      <c r="E19" s="1" cm="1">
        <f t="array" ref="E19">_xlfn.IFS(D19&gt;=90%,7.5,D19&gt;=80%,6,D19&gt;=70%,4.5,D19&gt;=60%,3,D19&lt;60%,0)</f>
        <v>4.5</v>
      </c>
      <c r="F19" s="1" t="s">
        <v>48</v>
      </c>
      <c r="G19" s="20" t="s">
        <v>48</v>
      </c>
      <c r="H19" s="20" t="s">
        <v>48</v>
      </c>
      <c r="I19" s="17" t="s">
        <v>47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x14ac:dyDescent="0.5">
      <c r="A20" s="1">
        <f t="shared" si="2"/>
        <v>17</v>
      </c>
      <c r="B20" s="1">
        <v>24010601026</v>
      </c>
      <c r="C20" s="1" t="s">
        <v>21</v>
      </c>
      <c r="D20" s="10">
        <f t="shared" si="1"/>
        <v>1</v>
      </c>
      <c r="E20" s="1" cm="1">
        <f t="array" ref="E20">_xlfn.IFS(D20&gt;=90%,7.5,D20&gt;=80%,6,D20&gt;=70%,4.5,D20&gt;=60%,3,D20&lt;60%,0)</f>
        <v>7.5</v>
      </c>
      <c r="F20" s="1" t="s">
        <v>48</v>
      </c>
      <c r="G20" s="20" t="s">
        <v>48</v>
      </c>
      <c r="H20" s="20" t="s">
        <v>48</v>
      </c>
      <c r="I20" s="20" t="s">
        <v>48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x14ac:dyDescent="0.5">
      <c r="A21" s="1">
        <f t="shared" si="2"/>
        <v>18</v>
      </c>
      <c r="B21" s="1">
        <v>24010601027</v>
      </c>
      <c r="C21" s="1" t="s">
        <v>22</v>
      </c>
      <c r="D21" s="10">
        <f t="shared" si="1"/>
        <v>1</v>
      </c>
      <c r="E21" s="1" cm="1">
        <f t="array" ref="E21">_xlfn.IFS(D21&gt;=90%,7.5,D21&gt;=80%,6,D21&gt;=70%,4.5,D21&gt;=60%,3,D21&lt;60%,0)</f>
        <v>7.5</v>
      </c>
      <c r="F21" s="1" t="s">
        <v>48</v>
      </c>
      <c r="G21" s="20" t="s">
        <v>48</v>
      </c>
      <c r="H21" s="20" t="s">
        <v>48</v>
      </c>
      <c r="I21" s="20" t="s">
        <v>48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x14ac:dyDescent="0.5">
      <c r="A22" s="1">
        <f t="shared" si="2"/>
        <v>19</v>
      </c>
      <c r="B22" s="1">
        <v>24010601028</v>
      </c>
      <c r="C22" s="1" t="s">
        <v>23</v>
      </c>
      <c r="D22" s="10">
        <f t="shared" si="1"/>
        <v>0.75</v>
      </c>
      <c r="E22" s="1" cm="1">
        <f t="array" ref="E22">_xlfn.IFS(D22&gt;=90%,7.5,D22&gt;=80%,6,D22&gt;=70%,4.5,D22&gt;=60%,3,D22&lt;60%,0)</f>
        <v>4.5</v>
      </c>
      <c r="F22" s="1" t="s">
        <v>48</v>
      </c>
      <c r="G22" s="17" t="s">
        <v>47</v>
      </c>
      <c r="H22" s="20" t="s">
        <v>48</v>
      </c>
      <c r="I22" s="20" t="s">
        <v>48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x14ac:dyDescent="0.5">
      <c r="A23" s="1">
        <f t="shared" si="2"/>
        <v>20</v>
      </c>
      <c r="B23" s="1">
        <v>24010601029</v>
      </c>
      <c r="C23" s="1" t="s">
        <v>24</v>
      </c>
      <c r="D23" s="10">
        <f t="shared" si="1"/>
        <v>1</v>
      </c>
      <c r="E23" s="1" cm="1">
        <f t="array" ref="E23">_xlfn.IFS(D23&gt;=90%,7.5,D23&gt;=80%,6,D23&gt;=70%,4.5,D23&gt;=60%,3,D23&lt;60%,0)</f>
        <v>7.5</v>
      </c>
      <c r="F23" s="1" t="s">
        <v>48</v>
      </c>
      <c r="G23" s="20" t="s">
        <v>48</v>
      </c>
      <c r="H23" s="20" t="s">
        <v>48</v>
      </c>
      <c r="I23" s="20" t="s">
        <v>48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x14ac:dyDescent="0.5">
      <c r="A24" s="1">
        <f t="shared" si="2"/>
        <v>21</v>
      </c>
      <c r="B24" s="1">
        <v>24010601031</v>
      </c>
      <c r="C24" s="1" t="s">
        <v>25</v>
      </c>
      <c r="D24" s="10">
        <f t="shared" si="1"/>
        <v>1</v>
      </c>
      <c r="E24" s="1" cm="1">
        <f t="array" ref="E24">_xlfn.IFS(D24&gt;=90%,7.5,D24&gt;=80%,6,D24&gt;=70%,4.5,D24&gt;=60%,3,D24&lt;60%,0)</f>
        <v>7.5</v>
      </c>
      <c r="F24" s="1" t="s">
        <v>48</v>
      </c>
      <c r="G24" s="20" t="s">
        <v>48</v>
      </c>
      <c r="H24" s="20" t="s">
        <v>48</v>
      </c>
      <c r="I24" s="20" t="s">
        <v>48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x14ac:dyDescent="0.5">
      <c r="A25" s="1">
        <f t="shared" si="2"/>
        <v>22</v>
      </c>
      <c r="B25" s="1">
        <v>24010601032</v>
      </c>
      <c r="C25" s="1" t="s">
        <v>26</v>
      </c>
      <c r="D25" s="10">
        <f t="shared" si="1"/>
        <v>1</v>
      </c>
      <c r="E25" s="1" cm="1">
        <f t="array" ref="E25">_xlfn.IFS(D25&gt;=90%,7.5,D25&gt;=80%,6,D25&gt;=70%,4.5,D25&gt;=60%,3,D25&lt;60%,0)</f>
        <v>7.5</v>
      </c>
      <c r="F25" s="1" t="s">
        <v>48</v>
      </c>
      <c r="G25" s="20" t="s">
        <v>48</v>
      </c>
      <c r="H25" s="20" t="s">
        <v>48</v>
      </c>
      <c r="I25" s="20" t="s">
        <v>48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5">
      <c r="A26" s="1">
        <f t="shared" si="2"/>
        <v>23</v>
      </c>
      <c r="B26" s="1">
        <v>24010601033</v>
      </c>
      <c r="C26" s="1" t="s">
        <v>27</v>
      </c>
      <c r="D26" s="10">
        <f t="shared" si="1"/>
        <v>1</v>
      </c>
      <c r="E26" s="1" cm="1">
        <f t="array" ref="E26">_xlfn.IFS(D26&gt;=90%,7.5,D26&gt;=80%,6,D26&gt;=70%,4.5,D26&gt;=60%,3,D26&lt;60%,0)</f>
        <v>7.5</v>
      </c>
      <c r="F26" s="1" t="s">
        <v>48</v>
      </c>
      <c r="G26" s="20" t="s">
        <v>48</v>
      </c>
      <c r="H26" s="20" t="s">
        <v>48</v>
      </c>
      <c r="I26" s="20" t="s">
        <v>48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x14ac:dyDescent="0.5">
      <c r="A27" s="1">
        <f t="shared" si="2"/>
        <v>24</v>
      </c>
      <c r="B27" s="1">
        <v>23010601014</v>
      </c>
      <c r="C27" s="1" t="s">
        <v>28</v>
      </c>
      <c r="D27" s="10">
        <f t="shared" si="1"/>
        <v>1</v>
      </c>
      <c r="E27" s="1" cm="1">
        <f t="array" ref="E27">_xlfn.IFS(D27&gt;=90%,7.5,D27&gt;=80%,6,D27&gt;=70%,4.5,D27&gt;=60%,3,D27&lt;60%,0)</f>
        <v>7.5</v>
      </c>
      <c r="F27" s="1" t="s">
        <v>48</v>
      </c>
      <c r="G27" s="20" t="s">
        <v>48</v>
      </c>
      <c r="H27" s="20" t="s">
        <v>48</v>
      </c>
      <c r="I27" s="20" t="s">
        <v>48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x14ac:dyDescent="0.5">
      <c r="A28" s="1">
        <f t="shared" si="2"/>
        <v>25</v>
      </c>
      <c r="B28" s="1">
        <v>23010601015</v>
      </c>
      <c r="C28" s="1" t="s">
        <v>29</v>
      </c>
      <c r="D28" s="10">
        <f t="shared" si="1"/>
        <v>0.75</v>
      </c>
      <c r="E28" s="1" cm="1">
        <f t="array" ref="E28">_xlfn.IFS(D28&gt;=90%,7.5,D28&gt;=80%,6,D28&gt;=70%,4.5,D28&gt;=60%,3,D28&lt;60%,0)</f>
        <v>4.5</v>
      </c>
      <c r="F28" s="17" t="s">
        <v>47</v>
      </c>
      <c r="G28" s="20" t="s">
        <v>48</v>
      </c>
      <c r="H28" s="20" t="s">
        <v>48</v>
      </c>
      <c r="I28" s="20" t="s">
        <v>48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x14ac:dyDescent="0.5">
      <c r="A29" s="1">
        <f t="shared" si="2"/>
        <v>26</v>
      </c>
      <c r="B29" s="1">
        <v>23010601024</v>
      </c>
      <c r="C29" s="1" t="s">
        <v>30</v>
      </c>
      <c r="D29" s="10">
        <f t="shared" si="1"/>
        <v>0.75</v>
      </c>
      <c r="E29" s="1" cm="1">
        <f t="array" ref="E29">_xlfn.IFS(D29&gt;=90%,7.5,D29&gt;=80%,6,D29&gt;=70%,4.5,D29&gt;=60%,3,D29&lt;60%,0)</f>
        <v>4.5</v>
      </c>
      <c r="F29" s="1" t="s">
        <v>48</v>
      </c>
      <c r="G29" s="20" t="s">
        <v>48</v>
      </c>
      <c r="H29" s="20" t="s">
        <v>48</v>
      </c>
      <c r="I29" s="17" t="s">
        <v>47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x14ac:dyDescent="0.5">
      <c r="A30" s="1">
        <f t="shared" si="2"/>
        <v>27</v>
      </c>
      <c r="B30" s="1" t="s">
        <v>31</v>
      </c>
      <c r="C30" s="1" t="s">
        <v>32</v>
      </c>
      <c r="D30" s="10">
        <f t="shared" si="1"/>
        <v>0.75</v>
      </c>
      <c r="E30" s="1" cm="1">
        <f t="array" ref="E30">_xlfn.IFS(D30&gt;=90%,7.5,D30&gt;=80%,6,D30&gt;=70%,4.5,D30&gt;=60%,3,D30&lt;60%,0)</f>
        <v>4.5</v>
      </c>
      <c r="F30" s="1" t="s">
        <v>48</v>
      </c>
      <c r="G30" s="17" t="s">
        <v>47</v>
      </c>
      <c r="H30" s="20" t="s">
        <v>48</v>
      </c>
      <c r="I30" s="20" t="s">
        <v>48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x14ac:dyDescent="0.5">
      <c r="A31" s="1">
        <f t="shared" si="2"/>
        <v>28</v>
      </c>
      <c r="B31" s="1" t="s">
        <v>33</v>
      </c>
      <c r="C31" s="1" t="s">
        <v>34</v>
      </c>
      <c r="D31" s="10">
        <f t="shared" si="1"/>
        <v>0.75</v>
      </c>
      <c r="E31" s="1" cm="1">
        <f t="array" ref="E31">_xlfn.IFS(D31&gt;=90%,7.5,D31&gt;=80%,6,D31&gt;=70%,4.5,D31&gt;=60%,3,D31&lt;60%,0)</f>
        <v>4.5</v>
      </c>
      <c r="F31" s="17" t="s">
        <v>47</v>
      </c>
      <c r="G31" s="20" t="s">
        <v>48</v>
      </c>
      <c r="H31" s="20" t="s">
        <v>48</v>
      </c>
      <c r="I31" s="20" t="s">
        <v>48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</sheetData>
  <autoFilter ref="A3:F31" xr:uid="{00000000-0009-0000-0000-000000000000}"/>
  <mergeCells count="1">
    <mergeCell ref="A1:B1"/>
  </mergeCells>
  <conditionalFormatting sqref="D4:D31">
    <cfRule type="cellIs" dxfId="5" priority="4" operator="lessThan">
      <formula>0.6</formula>
    </cfRule>
    <cfRule type="cellIs" dxfId="4" priority="5" operator="greaterThan">
      <formula>0.9</formula>
    </cfRule>
    <cfRule type="cellIs" dxfId="3" priority="6" operator="between">
      <formula>0.6</formula>
      <formula>0.89</formula>
    </cfRule>
  </conditionalFormatting>
  <conditionalFormatting sqref="E4:E31">
    <cfRule type="cellIs" dxfId="2" priority="1" operator="lessThan">
      <formula>3</formula>
    </cfRule>
    <cfRule type="cellIs" dxfId="1" priority="2" operator="between">
      <formula>2</formula>
      <formula>5.5</formula>
    </cfRule>
    <cfRule type="cellIs" dxfId="0" priority="3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F02D-228B-4C63-98C5-F7BA32FDAAA2}">
  <dimension ref="A1:I33"/>
  <sheetViews>
    <sheetView zoomScale="99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I6" sqref="I6"/>
    </sheetView>
  </sheetViews>
  <sheetFormatPr defaultRowHeight="19.2" x14ac:dyDescent="0.3"/>
  <cols>
    <col min="1" max="1" width="8.109375" style="2" bestFit="1" customWidth="1"/>
    <col min="2" max="2" width="18.109375" style="2" bestFit="1" customWidth="1"/>
    <col min="3" max="3" width="34.6640625" style="2" bestFit="1" customWidth="1"/>
    <col min="4" max="4" width="17.21875" style="11" bestFit="1" customWidth="1"/>
    <col min="5" max="7" width="15.44140625" style="11" bestFit="1" customWidth="1"/>
    <col min="8" max="8" width="3.44140625" style="11" bestFit="1" customWidth="1"/>
    <col min="9" max="9" width="4.6640625" style="11" bestFit="1" customWidth="1"/>
    <col min="10" max="16384" width="8.88671875" style="3"/>
  </cols>
  <sheetData>
    <row r="1" spans="1:9" x14ac:dyDescent="0.3">
      <c r="A1" s="22" t="s">
        <v>37</v>
      </c>
      <c r="B1" s="22"/>
      <c r="C1" s="7" t="s">
        <v>38</v>
      </c>
      <c r="D1" s="13" t="s">
        <v>40</v>
      </c>
      <c r="E1" s="13" t="s">
        <v>41</v>
      </c>
      <c r="F1" s="13" t="s">
        <v>42</v>
      </c>
      <c r="G1" s="13" t="s">
        <v>43</v>
      </c>
      <c r="H1" s="23" t="s">
        <v>44</v>
      </c>
      <c r="I1" s="23"/>
    </row>
    <row r="2" spans="1:9" x14ac:dyDescent="0.3">
      <c r="A2" s="7" t="s">
        <v>35</v>
      </c>
      <c r="B2" s="7">
        <f>COUNT(A4:A33)</f>
        <v>30</v>
      </c>
      <c r="C2" s="7" t="s">
        <v>36</v>
      </c>
      <c r="D2" s="13" t="s">
        <v>45</v>
      </c>
      <c r="E2" s="13"/>
      <c r="F2" s="13"/>
      <c r="G2" s="13"/>
      <c r="H2" s="23"/>
      <c r="I2" s="23"/>
    </row>
    <row r="3" spans="1:9" s="6" customFormat="1" x14ac:dyDescent="0.3">
      <c r="A3" s="4" t="s">
        <v>0</v>
      </c>
      <c r="B3" s="4" t="s">
        <v>1</v>
      </c>
      <c r="C3" s="4" t="s">
        <v>2</v>
      </c>
      <c r="D3" s="14" t="s">
        <v>46</v>
      </c>
      <c r="E3" s="14" t="s">
        <v>46</v>
      </c>
      <c r="F3" s="14" t="s">
        <v>46</v>
      </c>
      <c r="G3" s="14" t="s">
        <v>46</v>
      </c>
      <c r="H3" s="15">
        <v>20</v>
      </c>
      <c r="I3" s="15">
        <v>7.5</v>
      </c>
    </row>
    <row r="4" spans="1:9" x14ac:dyDescent="0.3">
      <c r="A4" s="1">
        <v>1</v>
      </c>
      <c r="B4" s="1">
        <v>24010601001</v>
      </c>
      <c r="C4" s="1" t="s">
        <v>3</v>
      </c>
      <c r="D4" s="16"/>
      <c r="E4" s="16"/>
      <c r="F4" s="16"/>
      <c r="G4" s="16"/>
      <c r="H4" s="16">
        <f>SUM(D4:G4)</f>
        <v>0</v>
      </c>
      <c r="I4" s="16">
        <f>(H4/20)*7.5</f>
        <v>0</v>
      </c>
    </row>
    <row r="5" spans="1:9" x14ac:dyDescent="0.3">
      <c r="A5" s="1">
        <f>A4+1</f>
        <v>2</v>
      </c>
      <c r="B5" s="1">
        <v>24010601003</v>
      </c>
      <c r="C5" s="1" t="s">
        <v>4</v>
      </c>
      <c r="D5" s="16"/>
      <c r="E5" s="16"/>
      <c r="F5" s="16"/>
      <c r="G5" s="16"/>
      <c r="H5" s="16">
        <f t="shared" ref="H5:H33" si="0">SUM(D5:G5)</f>
        <v>0</v>
      </c>
      <c r="I5" s="16">
        <f t="shared" ref="I5:I33" si="1">(H5/20)*7.5</f>
        <v>0</v>
      </c>
    </row>
    <row r="6" spans="1:9" x14ac:dyDescent="0.3">
      <c r="A6" s="1">
        <f t="shared" ref="A6:A33" si="2">A5+1</f>
        <v>3</v>
      </c>
      <c r="B6" s="1">
        <v>24010601004</v>
      </c>
      <c r="C6" s="1" t="s">
        <v>5</v>
      </c>
      <c r="D6" s="16"/>
      <c r="E6" s="16"/>
      <c r="F6" s="16"/>
      <c r="G6" s="16"/>
      <c r="H6" s="16">
        <f t="shared" si="0"/>
        <v>0</v>
      </c>
      <c r="I6" s="16">
        <f t="shared" si="1"/>
        <v>0</v>
      </c>
    </row>
    <row r="7" spans="1:9" x14ac:dyDescent="0.3">
      <c r="A7" s="1">
        <f t="shared" si="2"/>
        <v>4</v>
      </c>
      <c r="B7" s="1">
        <v>24010601005</v>
      </c>
      <c r="C7" s="1" t="s">
        <v>6</v>
      </c>
      <c r="D7" s="16"/>
      <c r="E7" s="16"/>
      <c r="F7" s="16"/>
      <c r="G7" s="16"/>
      <c r="H7" s="16">
        <f t="shared" si="0"/>
        <v>0</v>
      </c>
      <c r="I7" s="16">
        <f t="shared" si="1"/>
        <v>0</v>
      </c>
    </row>
    <row r="8" spans="1:9" x14ac:dyDescent="0.3">
      <c r="A8" s="1">
        <f t="shared" si="2"/>
        <v>5</v>
      </c>
      <c r="B8" s="1">
        <v>24010601006</v>
      </c>
      <c r="C8" s="1" t="s">
        <v>7</v>
      </c>
      <c r="D8" s="16"/>
      <c r="E8" s="16"/>
      <c r="F8" s="16"/>
      <c r="G8" s="16"/>
      <c r="H8" s="16">
        <f t="shared" si="0"/>
        <v>0</v>
      </c>
      <c r="I8" s="16">
        <f t="shared" si="1"/>
        <v>0</v>
      </c>
    </row>
    <row r="9" spans="1:9" x14ac:dyDescent="0.3">
      <c r="A9" s="1">
        <f t="shared" si="2"/>
        <v>6</v>
      </c>
      <c r="B9" s="1">
        <v>24010601009</v>
      </c>
      <c r="C9" s="1" t="s">
        <v>8</v>
      </c>
      <c r="D9" s="16"/>
      <c r="E9" s="16"/>
      <c r="F9" s="16"/>
      <c r="G9" s="16"/>
      <c r="H9" s="16">
        <f t="shared" si="0"/>
        <v>0</v>
      </c>
      <c r="I9" s="16">
        <f t="shared" si="1"/>
        <v>0</v>
      </c>
    </row>
    <row r="10" spans="1:9" x14ac:dyDescent="0.3">
      <c r="A10" s="1">
        <f t="shared" si="2"/>
        <v>7</v>
      </c>
      <c r="B10" s="1">
        <v>24010601010</v>
      </c>
      <c r="C10" s="1" t="s">
        <v>9</v>
      </c>
      <c r="D10" s="16"/>
      <c r="E10" s="16"/>
      <c r="F10" s="16"/>
      <c r="G10" s="16"/>
      <c r="H10" s="16">
        <f t="shared" si="0"/>
        <v>0</v>
      </c>
      <c r="I10" s="16">
        <f t="shared" si="1"/>
        <v>0</v>
      </c>
    </row>
    <row r="11" spans="1:9" x14ac:dyDescent="0.3">
      <c r="A11" s="1">
        <f t="shared" si="2"/>
        <v>8</v>
      </c>
      <c r="B11" s="1">
        <v>24010601011</v>
      </c>
      <c r="C11" s="1" t="s">
        <v>10</v>
      </c>
      <c r="D11" s="16"/>
      <c r="E11" s="16"/>
      <c r="F11" s="16"/>
      <c r="G11" s="16"/>
      <c r="H11" s="16">
        <f t="shared" si="0"/>
        <v>0</v>
      </c>
      <c r="I11" s="16">
        <f t="shared" si="1"/>
        <v>0</v>
      </c>
    </row>
    <row r="12" spans="1:9" x14ac:dyDescent="0.3">
      <c r="A12" s="1">
        <f t="shared" si="2"/>
        <v>9</v>
      </c>
      <c r="B12" s="1">
        <v>24010601014</v>
      </c>
      <c r="C12" s="1" t="s">
        <v>11</v>
      </c>
      <c r="D12" s="16"/>
      <c r="E12" s="16"/>
      <c r="F12" s="16"/>
      <c r="G12" s="16"/>
      <c r="H12" s="16">
        <f t="shared" si="0"/>
        <v>0</v>
      </c>
      <c r="I12" s="16">
        <f t="shared" si="1"/>
        <v>0</v>
      </c>
    </row>
    <row r="13" spans="1:9" x14ac:dyDescent="0.3">
      <c r="A13" s="12">
        <f t="shared" si="2"/>
        <v>10</v>
      </c>
      <c r="B13" s="1">
        <v>24010601015</v>
      </c>
      <c r="C13" s="1" t="s">
        <v>12</v>
      </c>
      <c r="D13" s="16"/>
      <c r="E13" s="16"/>
      <c r="F13" s="16"/>
      <c r="G13" s="16"/>
      <c r="H13" s="16">
        <f t="shared" si="0"/>
        <v>0</v>
      </c>
      <c r="I13" s="16">
        <f t="shared" si="1"/>
        <v>0</v>
      </c>
    </row>
    <row r="14" spans="1:9" x14ac:dyDescent="0.3">
      <c r="A14" s="1">
        <f t="shared" si="2"/>
        <v>11</v>
      </c>
      <c r="B14" s="1">
        <v>24010601016</v>
      </c>
      <c r="C14" s="1" t="s">
        <v>13</v>
      </c>
      <c r="D14" s="16"/>
      <c r="E14" s="16"/>
      <c r="F14" s="16"/>
      <c r="G14" s="16"/>
      <c r="H14" s="16">
        <f t="shared" si="0"/>
        <v>0</v>
      </c>
      <c r="I14" s="16">
        <f t="shared" si="1"/>
        <v>0</v>
      </c>
    </row>
    <row r="15" spans="1:9" x14ac:dyDescent="0.3">
      <c r="A15" s="1">
        <f t="shared" si="2"/>
        <v>12</v>
      </c>
      <c r="B15" s="1">
        <v>24010601017</v>
      </c>
      <c r="C15" s="1" t="s">
        <v>14</v>
      </c>
      <c r="D15" s="16"/>
      <c r="E15" s="16"/>
      <c r="F15" s="16"/>
      <c r="G15" s="16"/>
      <c r="H15" s="16">
        <f t="shared" si="0"/>
        <v>0</v>
      </c>
      <c r="I15" s="16">
        <f t="shared" si="1"/>
        <v>0</v>
      </c>
    </row>
    <row r="16" spans="1:9" x14ac:dyDescent="0.3">
      <c r="A16" s="1">
        <f t="shared" si="2"/>
        <v>13</v>
      </c>
      <c r="B16" s="1">
        <v>24010601018</v>
      </c>
      <c r="C16" s="1" t="s">
        <v>15</v>
      </c>
      <c r="D16" s="16"/>
      <c r="E16" s="16"/>
      <c r="F16" s="16"/>
      <c r="G16" s="16"/>
      <c r="H16" s="16">
        <f t="shared" si="0"/>
        <v>0</v>
      </c>
      <c r="I16" s="16">
        <f t="shared" si="1"/>
        <v>0</v>
      </c>
    </row>
    <row r="17" spans="1:9" x14ac:dyDescent="0.3">
      <c r="A17" s="1">
        <f t="shared" si="2"/>
        <v>14</v>
      </c>
      <c r="B17" s="1">
        <v>24010601019</v>
      </c>
      <c r="C17" s="1" t="s">
        <v>16</v>
      </c>
      <c r="D17" s="16"/>
      <c r="E17" s="16"/>
      <c r="F17" s="16"/>
      <c r="G17" s="16"/>
      <c r="H17" s="16">
        <f t="shared" si="0"/>
        <v>0</v>
      </c>
      <c r="I17" s="16">
        <f t="shared" si="1"/>
        <v>0</v>
      </c>
    </row>
    <row r="18" spans="1:9" x14ac:dyDescent="0.3">
      <c r="A18" s="1">
        <f t="shared" si="2"/>
        <v>15</v>
      </c>
      <c r="B18" s="1">
        <v>24010601022</v>
      </c>
      <c r="C18" s="1" t="s">
        <v>17</v>
      </c>
      <c r="D18" s="16"/>
      <c r="E18" s="16"/>
      <c r="F18" s="16"/>
      <c r="G18" s="16"/>
      <c r="H18" s="16">
        <f t="shared" si="0"/>
        <v>0</v>
      </c>
      <c r="I18" s="16">
        <f t="shared" si="1"/>
        <v>0</v>
      </c>
    </row>
    <row r="19" spans="1:9" x14ac:dyDescent="0.3">
      <c r="A19" s="1">
        <f t="shared" si="2"/>
        <v>16</v>
      </c>
      <c r="B19" s="1">
        <v>24010601023</v>
      </c>
      <c r="C19" s="1" t="s">
        <v>18</v>
      </c>
      <c r="D19" s="16"/>
      <c r="E19" s="16"/>
      <c r="F19" s="16"/>
      <c r="G19" s="16"/>
      <c r="H19" s="16">
        <f t="shared" si="0"/>
        <v>0</v>
      </c>
      <c r="I19" s="16">
        <f t="shared" si="1"/>
        <v>0</v>
      </c>
    </row>
    <row r="20" spans="1:9" x14ac:dyDescent="0.3">
      <c r="A20" s="1">
        <f t="shared" si="2"/>
        <v>17</v>
      </c>
      <c r="B20" s="1">
        <v>24010601024</v>
      </c>
      <c r="C20" s="1" t="s">
        <v>19</v>
      </c>
      <c r="D20" s="16"/>
      <c r="E20" s="16"/>
      <c r="F20" s="16"/>
      <c r="G20" s="16"/>
      <c r="H20" s="16">
        <f t="shared" si="0"/>
        <v>0</v>
      </c>
      <c r="I20" s="16">
        <f t="shared" si="1"/>
        <v>0</v>
      </c>
    </row>
    <row r="21" spans="1:9" x14ac:dyDescent="0.3">
      <c r="A21" s="1">
        <f t="shared" si="2"/>
        <v>18</v>
      </c>
      <c r="B21" s="1">
        <v>24010601025</v>
      </c>
      <c r="C21" s="1" t="s">
        <v>20</v>
      </c>
      <c r="D21" s="16"/>
      <c r="E21" s="16"/>
      <c r="F21" s="16"/>
      <c r="G21" s="16"/>
      <c r="H21" s="16">
        <f t="shared" si="0"/>
        <v>0</v>
      </c>
      <c r="I21" s="16">
        <f t="shared" si="1"/>
        <v>0</v>
      </c>
    </row>
    <row r="22" spans="1:9" x14ac:dyDescent="0.3">
      <c r="A22" s="1">
        <f t="shared" si="2"/>
        <v>19</v>
      </c>
      <c r="B22" s="1">
        <v>24010601026</v>
      </c>
      <c r="C22" s="1" t="s">
        <v>21</v>
      </c>
      <c r="D22" s="16"/>
      <c r="E22" s="16"/>
      <c r="F22" s="16"/>
      <c r="G22" s="16"/>
      <c r="H22" s="16">
        <f t="shared" si="0"/>
        <v>0</v>
      </c>
      <c r="I22" s="16">
        <f t="shared" si="1"/>
        <v>0</v>
      </c>
    </row>
    <row r="23" spans="1:9" x14ac:dyDescent="0.3">
      <c r="A23" s="1">
        <f t="shared" si="2"/>
        <v>20</v>
      </c>
      <c r="B23" s="1">
        <v>24010601027</v>
      </c>
      <c r="C23" s="1" t="s">
        <v>22</v>
      </c>
      <c r="D23" s="16"/>
      <c r="E23" s="16"/>
      <c r="F23" s="16"/>
      <c r="G23" s="16"/>
      <c r="H23" s="16">
        <f t="shared" si="0"/>
        <v>0</v>
      </c>
      <c r="I23" s="16">
        <f t="shared" si="1"/>
        <v>0</v>
      </c>
    </row>
    <row r="24" spans="1:9" x14ac:dyDescent="0.3">
      <c r="A24" s="1">
        <f t="shared" si="2"/>
        <v>21</v>
      </c>
      <c r="B24" s="1">
        <v>24010601028</v>
      </c>
      <c r="C24" s="1" t="s">
        <v>23</v>
      </c>
      <c r="D24" s="16"/>
      <c r="E24" s="16"/>
      <c r="F24" s="16"/>
      <c r="G24" s="16"/>
      <c r="H24" s="16">
        <f t="shared" si="0"/>
        <v>0</v>
      </c>
      <c r="I24" s="16">
        <f t="shared" si="1"/>
        <v>0</v>
      </c>
    </row>
    <row r="25" spans="1:9" x14ac:dyDescent="0.3">
      <c r="A25" s="1">
        <f t="shared" si="2"/>
        <v>22</v>
      </c>
      <c r="B25" s="1">
        <v>24010601029</v>
      </c>
      <c r="C25" s="1" t="s">
        <v>24</v>
      </c>
      <c r="D25" s="16"/>
      <c r="E25" s="16"/>
      <c r="F25" s="16"/>
      <c r="G25" s="16"/>
      <c r="H25" s="16">
        <f t="shared" si="0"/>
        <v>0</v>
      </c>
      <c r="I25" s="16">
        <f t="shared" si="1"/>
        <v>0</v>
      </c>
    </row>
    <row r="26" spans="1:9" x14ac:dyDescent="0.3">
      <c r="A26" s="1">
        <f t="shared" si="2"/>
        <v>23</v>
      </c>
      <c r="B26" s="1">
        <v>24010601031</v>
      </c>
      <c r="C26" s="1" t="s">
        <v>25</v>
      </c>
      <c r="D26" s="16"/>
      <c r="E26" s="16"/>
      <c r="F26" s="16"/>
      <c r="G26" s="16"/>
      <c r="H26" s="16">
        <f t="shared" si="0"/>
        <v>0</v>
      </c>
      <c r="I26" s="16">
        <f t="shared" si="1"/>
        <v>0</v>
      </c>
    </row>
    <row r="27" spans="1:9" x14ac:dyDescent="0.3">
      <c r="A27" s="1">
        <f t="shared" si="2"/>
        <v>24</v>
      </c>
      <c r="B27" s="1">
        <v>24010601032</v>
      </c>
      <c r="C27" s="1" t="s">
        <v>26</v>
      </c>
      <c r="D27" s="16"/>
      <c r="E27" s="16"/>
      <c r="F27" s="16"/>
      <c r="G27" s="16"/>
      <c r="H27" s="16">
        <f t="shared" si="0"/>
        <v>0</v>
      </c>
      <c r="I27" s="16">
        <f t="shared" si="1"/>
        <v>0</v>
      </c>
    </row>
    <row r="28" spans="1:9" x14ac:dyDescent="0.3">
      <c r="A28" s="1">
        <f t="shared" si="2"/>
        <v>25</v>
      </c>
      <c r="B28" s="1">
        <v>24010601033</v>
      </c>
      <c r="C28" s="1" t="s">
        <v>27</v>
      </c>
      <c r="D28" s="16"/>
      <c r="E28" s="16"/>
      <c r="F28" s="16"/>
      <c r="G28" s="16"/>
      <c r="H28" s="16">
        <f t="shared" si="0"/>
        <v>0</v>
      </c>
      <c r="I28" s="16">
        <f t="shared" si="1"/>
        <v>0</v>
      </c>
    </row>
    <row r="29" spans="1:9" x14ac:dyDescent="0.3">
      <c r="A29" s="1">
        <f t="shared" si="2"/>
        <v>26</v>
      </c>
      <c r="B29" s="1">
        <v>23010601014</v>
      </c>
      <c r="C29" s="1" t="s">
        <v>28</v>
      </c>
      <c r="D29" s="16"/>
      <c r="E29" s="16"/>
      <c r="F29" s="16"/>
      <c r="G29" s="16"/>
      <c r="H29" s="16">
        <f t="shared" si="0"/>
        <v>0</v>
      </c>
      <c r="I29" s="16">
        <f t="shared" si="1"/>
        <v>0</v>
      </c>
    </row>
    <row r="30" spans="1:9" x14ac:dyDescent="0.3">
      <c r="A30" s="1">
        <f t="shared" si="2"/>
        <v>27</v>
      </c>
      <c r="B30" s="1">
        <v>23010601015</v>
      </c>
      <c r="C30" s="1" t="s">
        <v>29</v>
      </c>
      <c r="D30" s="16"/>
      <c r="E30" s="16"/>
      <c r="F30" s="16"/>
      <c r="G30" s="16"/>
      <c r="H30" s="16">
        <f t="shared" si="0"/>
        <v>0</v>
      </c>
      <c r="I30" s="16">
        <f t="shared" si="1"/>
        <v>0</v>
      </c>
    </row>
    <row r="31" spans="1:9" x14ac:dyDescent="0.3">
      <c r="A31" s="1">
        <f t="shared" si="2"/>
        <v>28</v>
      </c>
      <c r="B31" s="1">
        <v>23010601024</v>
      </c>
      <c r="C31" s="1" t="s">
        <v>30</v>
      </c>
      <c r="D31" s="16"/>
      <c r="E31" s="16"/>
      <c r="F31" s="16"/>
      <c r="G31" s="16"/>
      <c r="H31" s="16">
        <f t="shared" si="0"/>
        <v>0</v>
      </c>
      <c r="I31" s="16">
        <f t="shared" si="1"/>
        <v>0</v>
      </c>
    </row>
    <row r="32" spans="1:9" x14ac:dyDescent="0.3">
      <c r="A32" s="1">
        <f t="shared" si="2"/>
        <v>29</v>
      </c>
      <c r="B32" s="1" t="s">
        <v>31</v>
      </c>
      <c r="C32" s="1" t="s">
        <v>32</v>
      </c>
      <c r="D32" s="1"/>
      <c r="E32" s="1"/>
      <c r="F32" s="1"/>
      <c r="G32" s="1"/>
      <c r="H32" s="16">
        <f t="shared" si="0"/>
        <v>0</v>
      </c>
      <c r="I32" s="16">
        <f t="shared" si="1"/>
        <v>0</v>
      </c>
    </row>
    <row r="33" spans="1:9" x14ac:dyDescent="0.3">
      <c r="A33" s="1">
        <f t="shared" si="2"/>
        <v>30</v>
      </c>
      <c r="B33" s="1" t="s">
        <v>33</v>
      </c>
      <c r="C33" s="1" t="s">
        <v>34</v>
      </c>
      <c r="D33" s="1"/>
      <c r="E33" s="1"/>
      <c r="F33" s="1"/>
      <c r="G33" s="1"/>
      <c r="H33" s="16">
        <f t="shared" si="0"/>
        <v>0</v>
      </c>
      <c r="I33" s="16">
        <f t="shared" si="1"/>
        <v>0</v>
      </c>
    </row>
  </sheetData>
  <autoFilter ref="A3:C3" xr:uid="{00000000-0009-0000-0000-000000000000}"/>
  <mergeCells count="2">
    <mergeCell ref="A1:B1"/>
    <mergeCell ref="H1:I2"/>
  </mergeCells>
  <pageMargins left="0.7" right="0.7" top="0.75" bottom="0.75" header="0.3" footer="0.3"/>
  <ignoredErrors>
    <ignoredError sqref="D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TFD 3-1 Attendance</vt:lpstr>
      <vt:lpstr>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2026-09-13T06:17:31Z</dcterms:modified>
</cp:coreProperties>
</file>