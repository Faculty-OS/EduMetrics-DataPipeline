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E:\Assessment\TFD 3-1\"/>
    </mc:Choice>
  </mc:AlternateContent>
  <xr:revisionPtr revIDLastSave="0" documentId="13_ncr:1_{2675E9CE-C9E1-448B-9663-A295C476D7CA}" xr6:coauthVersionLast="47" xr6:coauthVersionMax="47" xr10:uidLastSave="{00000000-0000-0000-0000-000000000000}"/>
  <bookViews>
    <workbookView xWindow="-108" yWindow="-108" windowWidth="23256" windowHeight="12456" tabRatio="832" xr2:uid="{00000000-000D-0000-FFFF-FFFF00000000}"/>
  </bookViews>
  <sheets>
    <sheet name="TFD 3-1 Attendance" sheetId="4" r:id="rId1"/>
    <sheet name="Assignment" sheetId="5" r:id="rId2"/>
    <sheet name="Class Test" sheetId="6" r:id="rId3"/>
    <sheet name="Eval." sheetId="7" r:id="rId4"/>
  </sheets>
  <definedNames>
    <definedName name="_xlnm._FilterDatabase" localSheetId="1" hidden="1">Assignment!$A$3:$C$3</definedName>
    <definedName name="_xlnm._FilterDatabase" localSheetId="2" hidden="1">'Class Test'!$A$3:$C$3</definedName>
    <definedName name="_xlnm._FilterDatabase" localSheetId="3" hidden="1">Eval.!$A$3:$G$3</definedName>
    <definedName name="_xlnm._FilterDatabase" localSheetId="0" hidden="1">'TFD 3-1 Attendance'!$A$3:$F$30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7" l="1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4" i="7"/>
  <c r="E5" i="7"/>
  <c r="E6" i="7"/>
  <c r="E7" i="7"/>
  <c r="E8" i="7"/>
  <c r="E9" i="7"/>
  <c r="E10" i="7"/>
  <c r="E11" i="7"/>
  <c r="E12" i="7"/>
  <c r="E13" i="7"/>
  <c r="E16" i="7"/>
  <c r="E17" i="7"/>
  <c r="E18" i="7"/>
  <c r="E20" i="7"/>
  <c r="E21" i="7"/>
  <c r="E22" i="7"/>
  <c r="E23" i="7"/>
  <c r="E24" i="7"/>
  <c r="E25" i="7"/>
  <c r="E26" i="7"/>
  <c r="E27" i="7"/>
  <c r="E28" i="7"/>
  <c r="E29" i="7"/>
  <c r="E4" i="7"/>
  <c r="D11" i="7"/>
  <c r="A5" i="7"/>
  <c r="A6" i="7" s="1"/>
  <c r="A5" i="6"/>
  <c r="A6" i="6" s="1"/>
  <c r="A7" i="6" s="1"/>
  <c r="A8" i="6" s="1"/>
  <c r="G15" i="5"/>
  <c r="E15" i="7" s="1"/>
  <c r="A5" i="5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D5" i="4"/>
  <c r="E5" i="4" s="1" a="1"/>
  <c r="E5" i="4" s="1"/>
  <c r="D5" i="7" s="1"/>
  <c r="G5" i="7" s="1"/>
  <c r="D6" i="4"/>
  <c r="E6" i="4" s="1" a="1"/>
  <c r="E6" i="4" s="1"/>
  <c r="D6" i="7" s="1"/>
  <c r="G6" i="7" s="1"/>
  <c r="D7" i="4"/>
  <c r="E7" i="4" s="1" a="1"/>
  <c r="E7" i="4" s="1"/>
  <c r="D7" i="7" s="1"/>
  <c r="D8" i="4"/>
  <c r="E8" i="4" s="1" a="1"/>
  <c r="E8" i="4" s="1"/>
  <c r="D8" i="7" s="1"/>
  <c r="D9" i="4"/>
  <c r="E9" i="4" s="1" a="1"/>
  <c r="E9" i="4" s="1"/>
  <c r="D9" i="7" s="1"/>
  <c r="D10" i="4"/>
  <c r="E10" i="4" s="1" a="1"/>
  <c r="E10" i="4" s="1"/>
  <c r="D10" i="7" s="1"/>
  <c r="D11" i="4"/>
  <c r="E11" i="4" s="1" a="1"/>
  <c r="E11" i="4" s="1"/>
  <c r="D12" i="4"/>
  <c r="E12" i="4" s="1" a="1"/>
  <c r="E12" i="4" s="1"/>
  <c r="D12" i="7" s="1"/>
  <c r="D13" i="4"/>
  <c r="E13" i="4" s="1" a="1"/>
  <c r="E13" i="4" s="1"/>
  <c r="D13" i="7" s="1"/>
  <c r="G13" i="7" s="1"/>
  <c r="D14" i="4"/>
  <c r="E14" i="4" s="1" a="1"/>
  <c r="E14" i="4" s="1"/>
  <c r="D14" i="7" s="1"/>
  <c r="D15" i="4"/>
  <c r="E15" i="4" s="1" a="1"/>
  <c r="E15" i="4" s="1"/>
  <c r="D15" i="7" s="1"/>
  <c r="D16" i="4"/>
  <c r="E16" i="4" s="1" a="1"/>
  <c r="E16" i="4" s="1"/>
  <c r="D16" i="7" s="1"/>
  <c r="G16" i="7" s="1"/>
  <c r="D17" i="4"/>
  <c r="E17" i="4" s="1" a="1"/>
  <c r="E17" i="4" s="1"/>
  <c r="D17" i="7" s="1"/>
  <c r="D18" i="4"/>
  <c r="E18" i="4" s="1" a="1"/>
  <c r="E18" i="4" s="1"/>
  <c r="D18" i="7" s="1"/>
  <c r="D19" i="4"/>
  <c r="E19" i="4" s="1" a="1"/>
  <c r="E19" i="4" s="1"/>
  <c r="D19" i="7" s="1"/>
  <c r="D20" i="4"/>
  <c r="E20" i="4" s="1" a="1"/>
  <c r="E20" i="4" s="1"/>
  <c r="D20" i="7" s="1"/>
  <c r="G20" i="7" s="1"/>
  <c r="D21" i="4"/>
  <c r="E21" i="4" s="1" a="1"/>
  <c r="E21" i="4" s="1"/>
  <c r="D21" i="7" s="1"/>
  <c r="G21" i="7" s="1"/>
  <c r="D22" i="4"/>
  <c r="E22" i="4" s="1" a="1"/>
  <c r="E22" i="4" s="1"/>
  <c r="D22" i="7" s="1"/>
  <c r="G22" i="7" s="1"/>
  <c r="D23" i="4"/>
  <c r="E23" i="4" s="1" a="1"/>
  <c r="E23" i="4" s="1"/>
  <c r="D23" i="7" s="1"/>
  <c r="D24" i="4"/>
  <c r="E24" i="4" s="1" a="1"/>
  <c r="E24" i="4" s="1"/>
  <c r="D24" i="7" s="1"/>
  <c r="G24" i="7" s="1"/>
  <c r="D25" i="4"/>
  <c r="E25" i="4" s="1" a="1"/>
  <c r="E25" i="4" s="1"/>
  <c r="D25" i="7" s="1"/>
  <c r="D26" i="4"/>
  <c r="E26" i="4" s="1" a="1"/>
  <c r="E26" i="4" s="1"/>
  <c r="D26" i="7" s="1"/>
  <c r="G26" i="7" s="1"/>
  <c r="D27" i="4"/>
  <c r="E27" i="4" s="1" a="1"/>
  <c r="E27" i="4" s="1"/>
  <c r="D27" i="7" s="1"/>
  <c r="D28" i="4"/>
  <c r="E28" i="4" s="1" a="1"/>
  <c r="E28" i="4" s="1"/>
  <c r="D28" i="7" s="1"/>
  <c r="D29" i="4"/>
  <c r="E29" i="4" s="1" a="1"/>
  <c r="E29" i="4" s="1"/>
  <c r="D29" i="7" s="1"/>
  <c r="G29" i="7" s="1"/>
  <c r="D30" i="4"/>
  <c r="E30" i="4" s="1" a="1"/>
  <c r="E30" i="4" s="1"/>
  <c r="D30" i="7" s="1"/>
  <c r="F30" i="5"/>
  <c r="G30" i="5" s="1"/>
  <c r="E30" i="7" s="1"/>
  <c r="F29" i="5"/>
  <c r="G29" i="5" s="1"/>
  <c r="F28" i="5"/>
  <c r="G28" i="5" s="1"/>
  <c r="F27" i="5"/>
  <c r="G27" i="5" s="1"/>
  <c r="F26" i="5"/>
  <c r="G26" i="5" s="1"/>
  <c r="F25" i="5"/>
  <c r="G25" i="5" s="1"/>
  <c r="F24" i="5"/>
  <c r="G24" i="5" s="1"/>
  <c r="F23" i="5"/>
  <c r="G23" i="5" s="1"/>
  <c r="F22" i="5"/>
  <c r="G22" i="5" s="1"/>
  <c r="F21" i="5"/>
  <c r="G21" i="5" s="1"/>
  <c r="F20" i="5"/>
  <c r="G20" i="5" s="1"/>
  <c r="F19" i="5"/>
  <c r="G19" i="5" s="1"/>
  <c r="E19" i="7" s="1"/>
  <c r="F18" i="5"/>
  <c r="G18" i="5" s="1"/>
  <c r="F17" i="5"/>
  <c r="G17" i="5" s="1"/>
  <c r="F16" i="5"/>
  <c r="G16" i="5" s="1"/>
  <c r="F15" i="5"/>
  <c r="F14" i="5"/>
  <c r="G14" i="5" s="1"/>
  <c r="E14" i="7" s="1"/>
  <c r="F13" i="5"/>
  <c r="G13" i="5" s="1"/>
  <c r="F12" i="5"/>
  <c r="G12" i="5" s="1"/>
  <c r="F11" i="5"/>
  <c r="G11" i="5" s="1"/>
  <c r="F10" i="5"/>
  <c r="G10" i="5" s="1"/>
  <c r="F9" i="5"/>
  <c r="G9" i="5" s="1"/>
  <c r="F8" i="5"/>
  <c r="G8" i="5" s="1"/>
  <c r="F7" i="5"/>
  <c r="G7" i="5" s="1"/>
  <c r="F6" i="5"/>
  <c r="G6" i="5" s="1"/>
  <c r="F5" i="5"/>
  <c r="G5" i="5" s="1"/>
  <c r="F4" i="5"/>
  <c r="G4" i="5" s="1"/>
  <c r="G28" i="7" l="1"/>
  <c r="G23" i="7"/>
  <c r="G18" i="7"/>
  <c r="G12" i="7"/>
  <c r="G7" i="7"/>
  <c r="G30" i="7"/>
  <c r="G9" i="7"/>
  <c r="G27" i="7"/>
  <c r="G8" i="7"/>
  <c r="G14" i="7"/>
  <c r="G17" i="7"/>
  <c r="G11" i="7"/>
  <c r="G25" i="7"/>
  <c r="G15" i="7"/>
  <c r="G19" i="7"/>
  <c r="G10" i="7"/>
  <c r="A7" i="7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9" i="6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D4" i="4"/>
  <c r="E4" i="4" s="1" a="1"/>
  <c r="E4" i="4" s="1"/>
  <c r="D4" i="7" s="1"/>
  <c r="G4" i="7" s="1"/>
  <c r="G2" i="4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B2" i="7" l="1"/>
  <c r="B2" i="6"/>
  <c r="A5" i="4"/>
  <c r="B2" i="5" l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B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<sst xmlns="http://schemas.openxmlformats.org/spreadsheetml/2006/main" count="403" uniqueCount="54">
  <si>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</si>
  <si>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</si>
  <si>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</si>
  <si>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</si>
  <si>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</si>
  <si>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</si>
  <si>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</si>
  <si>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</si>
  <si>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</si>
  <si>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MASRUR KHAN</t>
  </si>
  <si>
    <t>MOHAMMAD MUSHFIQUE KHAN</t>
  </si>
  <si>
    <t>MIRZA RAYDA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</si>
  <si>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</si>
  <si>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</si>
  <si>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</si>
  <si>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</si>
  <si>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</si>
  <si>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</si>
  <si>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</si>
  <si>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</si>
  <si>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</si>
  <si>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</si>
  <si>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</si>
  <si>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</si>
  <si>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</si>
  <si>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</si>
  <si>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</si>
  <si>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</si>
  <si>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</si>
  <si>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</si>
  <si>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</si>
  <si>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</si>
  <si>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</si>
  <si>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</si>
  <si>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BATCH 50</t>
  </si>
  <si>
    <t>Attendance%</t>
  </si>
  <si>
    <t>Assignment 1</t>
  </si>
  <si>
    <t>Total</t>
  </si>
  <si>
    <t>Knitting Action</t>
  </si>
  <si>
    <t>A</t>
  </si>
  <si>
    <t>P</t>
  </si>
  <si>
    <t>TFD 3-1</t>
  </si>
  <si>
    <t>Marks</t>
  </si>
  <si>
    <t>Comments on 1st Assignment</t>
  </si>
  <si>
    <t>Comments on 2nd Assignment</t>
  </si>
  <si>
    <t>Drawing Not Clear</t>
  </si>
  <si>
    <t>Class Test</t>
  </si>
  <si>
    <t>Attendance</t>
  </si>
  <si>
    <t>Assignment</t>
  </si>
  <si>
    <t>BOEV</t>
  </si>
  <si>
    <t>NOCT</t>
  </si>
  <si>
    <t>NOAS</t>
  </si>
  <si>
    <t>Cam Arrangement</t>
  </si>
  <si>
    <t>Assignment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</si>
</sst>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theme="3" tint="-0.249977111117893"/>
      <name val="Gill Sans MT"/>
      <family val="2"/>
    </font>
    <font>
      <b/>
      <sz val="16"/>
      <color rgb="FF000000"/>
      <name val="Gill Sans MT"/>
      <family val="2"/>
    </font>
    <font>
      <b/>
      <sz val="16"/>
      <color theme="8" tint="-0.499984740745262"/>
      <name val="Gill Sans MT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9" borderId="0" applyNumberFormat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9" borderId="1" xfId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2" fontId="3" fillId="7" borderId="1" xfId="0" applyNumberFormat="1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9" fillId="15" borderId="2" xfId="0" applyFont="1" applyFill="1" applyBorder="1" applyAlignment="1">
      <alignment horizontal="center" vertical="center"/>
    </xf>
    <xf numFmtId="0" fontId="9" fillId="15" borderId="3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8" fillId="14" borderId="3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"/>
  <sheetViews>
    <sheetView tabSelected="1" zoomScale="95" workbookViewId="0">
      <pane xSplit="5" ySplit="3" topLeftCell="N4" activePane="bottomRight" state="frozen"/>
      <selection pane="topRight" activeCell="E1" sqref="E1"/>
      <selection pane="bottomLeft" activeCell="A4" sqref="A4"/>
      <selection pane="bottomRight" activeCell="O8" sqref="O8"/>
    </sheetView>
  </sheetViews>
  <sheetFormatPr defaultRowHeight="19.2" x14ac:dyDescent="0.5"/>
  <cols>
    <col min="1" max="1" width="8.109375" style="8" bestFit="1" customWidth="1"/>
    <col min="2" max="2" width="18.109375" style="8" bestFit="1" customWidth="1"/>
    <col min="3" max="3" width="34.6640625" style="8" bestFit="1" customWidth="1"/>
    <col min="4" max="4" width="20.109375" style="8" bestFit="1" customWidth="1"/>
    <col min="5" max="5" width="12" style="16" bestFit="1" customWidth="1"/>
    <col min="6" max="6" width="39.33203125" style="8" bestFit="1" customWidth="1"/>
    <col min="7" max="7" width="30.77734375" style="13" customWidth="1"/>
    <col min="8" max="8" width="35.6640625" style="13" bestFit="1" customWidth="1"/>
    <col min="9" max="9" width="32.44140625" style="13" bestFit="1" customWidth="1"/>
    <col min="10" max="10" width="37.33203125" style="13" bestFit="1" customWidth="1"/>
    <col min="11" max="12" width="34.88671875" style="13" bestFit="1" customWidth="1"/>
    <col min="13" max="13" width="32.44140625" style="13" bestFit="1" customWidth="1"/>
    <col min="14" max="14" width="37.33203125" style="13" bestFit="1" customWidth="1"/>
    <col min="15" max="20" width="30.5546875" style="13" customWidth="1"/>
    <col min="21" max="16384" width="8.88671875" style="13"/>
  </cols>
  <sheetData>
    <row r="1" spans="1:20" x14ac:dyDescent="0.5">
      <c r="A1" s="25" t="s">
        <v>41</v>
      </c>
      <c r="B1" s="25"/>
      <c r="C1" s="4" t="s">
        <v>34</v>
      </c>
      <c r="D1" s="4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x14ac:dyDescent="0.5">
      <c r="A2" s="4" t="s">
        <v>32</v>
      </c>
      <c r="B2" s="4">
        <f>COUNT(A4:A30)</f>
        <v>27</v>
      </c>
      <c r="C2" s="4" t="s">
        <v>33</v>
      </c>
      <c r="D2" s="4"/>
      <c r="E2" s="4"/>
      <c r="F2" s="6">
        <v>1</v>
      </c>
      <c r="G2" s="6">
        <f>F2+1</f>
        <v>2</v>
      </c>
      <c r="H2" s="6">
        <f t="shared" ref="H2:T2" si="0">G2+1</f>
        <v>3</v>
      </c>
      <c r="I2" s="6">
        <f t="shared" si="0"/>
        <v>4</v>
      </c>
      <c r="J2" s="6">
        <f t="shared" si="0"/>
        <v>5</v>
      </c>
      <c r="K2" s="6">
        <f t="shared" si="0"/>
        <v>6</v>
      </c>
      <c r="L2" s="6">
        <f t="shared" si="0"/>
        <v>7</v>
      </c>
      <c r="M2" s="6">
        <f t="shared" si="0"/>
        <v>8</v>
      </c>
      <c r="N2" s="6">
        <f t="shared" si="0"/>
        <v>9</v>
      </c>
      <c r="O2" s="6">
        <f t="shared" si="0"/>
        <v>10</v>
      </c>
      <c r="P2" s="6">
        <f t="shared" si="0"/>
        <v>11</v>
      </c>
      <c r="Q2" s="6">
        <f t="shared" si="0"/>
        <v>12</v>
      </c>
      <c r="R2" s="6">
        <f t="shared" si="0"/>
        <v>13</v>
      </c>
      <c r="S2" s="6">
        <f t="shared" si="0"/>
        <v>14</v>
      </c>
      <c r="T2" s="6">
        <f t="shared" si="0"/>
        <v>15</v>
      </c>
    </row>
    <row r="3" spans="1:20" s="14" customFormat="1" x14ac:dyDescent="0.3">
      <c r="A3" s="2" t="s">
        <v>0</v>
      </c>
      <c r="B3" s="2" t="s">
        <v>1</v>
      </c>
      <c r="C3" s="2" t="s">
        <v>2</v>
      </c>
      <c r="D3" s="2" t="s">
        <v>35</v>
      </c>
      <c r="E3" s="2" t="s">
        <v>42</v>
      </c>
      <c r="F3" s="3">
        <v>46267</v>
      </c>
      <c r="G3" s="3">
        <v>46271</v>
      </c>
      <c r="H3" s="3">
        <v>46274</v>
      </c>
      <c r="I3" s="3">
        <v>46278</v>
      </c>
      <c r="J3" s="3">
        <v>46281</v>
      </c>
      <c r="K3" s="3">
        <v>46289</v>
      </c>
      <c r="L3" s="3">
        <v>46289</v>
      </c>
      <c r="M3" s="3">
        <v>46292</v>
      </c>
      <c r="N3" s="3">
        <v>46295</v>
      </c>
      <c r="O3" s="3"/>
      <c r="P3" s="3"/>
      <c r="Q3" s="3"/>
      <c r="R3" s="3"/>
      <c r="S3" s="3"/>
      <c r="T3" s="3"/>
    </row>
    <row r="4" spans="1:20" x14ac:dyDescent="0.5">
      <c r="A4" s="1">
        <v>1</v>
      </c>
      <c r="B4" s="1">
        <v>24010601001</v>
      </c>
      <c r="C4" s="1" t="s">
        <v>3</v>
      </c>
      <c r="D4" s="7">
        <f t="shared" ref="D4:D30" si="1">COUNTIF(F4:T4,"P")/(COUNTIF(F4:T4,"P")+COUNTIF(F4:T4,"A"))</f>
        <v>1</v>
      </c>
      <c r="E4" s="1" cm="1">
        <f t="array" ref="E4">_xlfn.IFS(D4&gt;=90%,7.5,D4&gt;=80%,6,D4&gt;=70%,4.5,D4&gt;=60%,3,D4&lt;60%,0)</f>
        <v>7.5</v>
      </c>
      <c r="F4" s="1" t="s">
        <v>40</v>
      </c>
      <c r="G4" s="15" t="s">
        <v>40</v>
      </c>
      <c r="H4" s="15" t="s">
        <v>40</v>
      </c>
      <c r="I4" s="15" t="s">
        <v>40</v>
      </c>
      <c r="J4" s="15" t="s">
        <v>40</v>
      </c>
      <c r="K4" s="15" t="s">
        <v>40</v>
      </c>
      <c r="L4" s="15" t="s">
        <v>40</v>
      </c>
      <c r="M4" s="15" t="s">
        <v>40</v>
      </c>
      <c r="N4" s="15" t="s">
        <v>40</v>
      </c>
      <c r="O4" s="15"/>
      <c r="P4" s="15"/>
      <c r="Q4" s="15"/>
      <c r="R4" s="15"/>
      <c r="S4" s="15"/>
      <c r="T4" s="15"/>
    </row>
    <row r="5" spans="1:20" x14ac:dyDescent="0.5">
      <c r="A5" s="1">
        <f>A4+1</f>
        <v>2</v>
      </c>
      <c r="B5" s="1">
        <v>24010601003</v>
      </c>
      <c r="C5" s="1" t="s">
        <v>4</v>
      </c>
      <c r="D5" s="7">
        <f t="shared" si="1"/>
        <v>1</v>
      </c>
      <c r="E5" s="1" cm="1">
        <f t="array" ref="E5">_xlfn.IFS(D5&gt;=90%,7.5,D5&gt;=80%,6,D5&gt;=70%,4.5,D5&gt;=60%,3,D5&lt;60%,0)</f>
        <v>7.5</v>
      </c>
      <c r="F5" s="1" t="s">
        <v>40</v>
      </c>
      <c r="G5" s="15" t="s">
        <v>40</v>
      </c>
      <c r="H5" s="15" t="s">
        <v>40</v>
      </c>
      <c r="I5" s="15" t="s">
        <v>40</v>
      </c>
      <c r="J5" s="15" t="s">
        <v>40</v>
      </c>
      <c r="K5" s="15" t="s">
        <v>40</v>
      </c>
      <c r="L5" s="15" t="s">
        <v>40</v>
      </c>
      <c r="M5" s="15" t="s">
        <v>40</v>
      </c>
      <c r="N5" s="15" t="s">
        <v>40</v>
      </c>
      <c r="O5" s="15"/>
      <c r="P5" s="15"/>
      <c r="Q5" s="15"/>
      <c r="R5" s="15"/>
      <c r="S5" s="15"/>
      <c r="T5" s="15"/>
    </row>
    <row r="6" spans="1:20" x14ac:dyDescent="0.5">
      <c r="A6" s="1">
        <f t="shared" ref="A6:A30" si="2">A5+1</f>
        <v>3</v>
      </c>
      <c r="B6" s="1">
        <v>24010601004</v>
      </c>
      <c r="C6" s="1" t="s">
        <v>5</v>
      </c>
      <c r="D6" s="7">
        <f t="shared" si="1"/>
        <v>1</v>
      </c>
      <c r="E6" s="1" cm="1">
        <f t="array" ref="E6">_xlfn.IFS(D6&gt;=90%,7.5,D6&gt;=80%,6,D6&gt;=70%,4.5,D6&gt;=60%,3,D6&lt;60%,0)</f>
        <v>7.5</v>
      </c>
      <c r="F6" s="1" t="s">
        <v>40</v>
      </c>
      <c r="G6" s="15" t="s">
        <v>40</v>
      </c>
      <c r="H6" s="15" t="s">
        <v>40</v>
      </c>
      <c r="I6" s="15" t="s">
        <v>40</v>
      </c>
      <c r="J6" s="15" t="s">
        <v>40</v>
      </c>
      <c r="K6" s="15" t="s">
        <v>40</v>
      </c>
      <c r="L6" s="15" t="s">
        <v>40</v>
      </c>
      <c r="M6" s="15" t="s">
        <v>40</v>
      </c>
      <c r="N6" s="15" t="s">
        <v>40</v>
      </c>
      <c r="O6" s="15"/>
      <c r="P6" s="15"/>
      <c r="Q6" s="15"/>
      <c r="R6" s="15"/>
      <c r="S6" s="15"/>
      <c r="T6" s="15"/>
    </row>
    <row r="7" spans="1:20" x14ac:dyDescent="0.5">
      <c r="A7" s="1">
        <f t="shared" si="2"/>
        <v>4</v>
      </c>
      <c r="B7" s="1">
        <v>24010601005</v>
      </c>
      <c r="C7" s="1" t="s">
        <v>6</v>
      </c>
      <c r="D7" s="7">
        <f t="shared" si="1"/>
        <v>0.88888888888888884</v>
      </c>
      <c r="E7" s="1" cm="1">
        <f t="array" ref="E7">_xlfn.IFS(D7&gt;=90%,7.5,D7&gt;=80%,6,D7&gt;=70%,4.5,D7&gt;=60%,3,D7&lt;60%,0)</f>
        <v>6</v>
      </c>
      <c r="F7" s="1" t="s">
        <v>40</v>
      </c>
      <c r="G7" s="15" t="s">
        <v>40</v>
      </c>
      <c r="H7" s="15" t="s">
        <v>40</v>
      </c>
      <c r="I7" s="15" t="s">
        <v>40</v>
      </c>
      <c r="J7" s="15" t="s">
        <v>40</v>
      </c>
      <c r="K7" s="15" t="s">
        <v>40</v>
      </c>
      <c r="L7" s="15" t="s">
        <v>40</v>
      </c>
      <c r="M7" s="15" t="s">
        <v>40</v>
      </c>
      <c r="N7" s="12" t="s">
        <v>39</v>
      </c>
      <c r="O7" s="15"/>
      <c r="P7" s="15"/>
      <c r="Q7" s="15"/>
      <c r="R7" s="15"/>
      <c r="S7" s="15"/>
      <c r="T7" s="15"/>
    </row>
    <row r="8" spans="1:20" x14ac:dyDescent="0.5">
      <c r="A8" s="1">
        <f t="shared" si="2"/>
        <v>5</v>
      </c>
      <c r="B8" s="1">
        <v>24010601006</v>
      </c>
      <c r="C8" s="1" t="s">
        <v>7</v>
      </c>
      <c r="D8" s="7">
        <f t="shared" si="1"/>
        <v>0.88888888888888884</v>
      </c>
      <c r="E8" s="1" cm="1">
        <f t="array" ref="E8">_xlfn.IFS(D8&gt;=90%,7.5,D8&gt;=80%,6,D8&gt;=70%,4.5,D8&gt;=60%,3,D8&lt;60%,0)</f>
        <v>6</v>
      </c>
      <c r="F8" s="1" t="s">
        <v>40</v>
      </c>
      <c r="G8" s="15" t="s">
        <v>40</v>
      </c>
      <c r="H8" s="15" t="s">
        <v>40</v>
      </c>
      <c r="I8" s="15" t="s">
        <v>40</v>
      </c>
      <c r="J8" s="15" t="s">
        <v>40</v>
      </c>
      <c r="K8" s="15" t="s">
        <v>40</v>
      </c>
      <c r="L8" s="15" t="s">
        <v>40</v>
      </c>
      <c r="M8" s="15" t="s">
        <v>40</v>
      </c>
      <c r="N8" s="12" t="s">
        <v>39</v>
      </c>
      <c r="O8" s="15"/>
      <c r="P8" s="15"/>
      <c r="Q8" s="15"/>
      <c r="R8" s="15"/>
      <c r="S8" s="15"/>
      <c r="T8" s="15"/>
    </row>
    <row r="9" spans="1:20" x14ac:dyDescent="0.5">
      <c r="A9" s="1">
        <f t="shared" si="2"/>
        <v>6</v>
      </c>
      <c r="B9" s="1">
        <v>24010601009</v>
      </c>
      <c r="C9" s="1" t="s">
        <v>8</v>
      </c>
      <c r="D9" s="7">
        <f t="shared" si="1"/>
        <v>1</v>
      </c>
      <c r="E9" s="1" cm="1">
        <f t="array" ref="E9">_xlfn.IFS(D9&gt;=90%,7.5,D9&gt;=80%,6,D9&gt;=70%,4.5,D9&gt;=60%,3,D9&lt;60%,0)</f>
        <v>7.5</v>
      </c>
      <c r="F9" s="1" t="s">
        <v>40</v>
      </c>
      <c r="G9" s="15" t="s">
        <v>40</v>
      </c>
      <c r="H9" s="15" t="s">
        <v>40</v>
      </c>
      <c r="I9" s="15" t="s">
        <v>40</v>
      </c>
      <c r="J9" s="15" t="s">
        <v>40</v>
      </c>
      <c r="K9" s="15" t="s">
        <v>40</v>
      </c>
      <c r="L9" s="15" t="s">
        <v>40</v>
      </c>
      <c r="M9" s="15" t="s">
        <v>40</v>
      </c>
      <c r="N9" s="15" t="s">
        <v>40</v>
      </c>
      <c r="O9" s="15"/>
      <c r="P9" s="15"/>
      <c r="Q9" s="15"/>
      <c r="R9" s="15"/>
      <c r="S9" s="15"/>
      <c r="T9" s="15"/>
    </row>
    <row r="10" spans="1:20" x14ac:dyDescent="0.5">
      <c r="A10" s="17">
        <f t="shared" si="2"/>
        <v>7</v>
      </c>
      <c r="B10" s="1">
        <v>24010601011</v>
      </c>
      <c r="C10" s="1" t="s">
        <v>9</v>
      </c>
      <c r="D10" s="7">
        <f t="shared" si="1"/>
        <v>0.55555555555555558</v>
      </c>
      <c r="E10" s="1" cm="1">
        <f t="array" ref="E10">_xlfn.IFS(D10&gt;=90%,7.5,D10&gt;=80%,6,D10&gt;=70%,4.5,D10&gt;=60%,3,D10&lt;60%,0)</f>
        <v>0</v>
      </c>
      <c r="F10" s="1" t="s">
        <v>40</v>
      </c>
      <c r="G10" s="12" t="s">
        <v>39</v>
      </c>
      <c r="H10" s="12" t="s">
        <v>39</v>
      </c>
      <c r="I10" s="12" t="s">
        <v>39</v>
      </c>
      <c r="J10" s="12" t="s">
        <v>39</v>
      </c>
      <c r="K10" s="15" t="s">
        <v>40</v>
      </c>
      <c r="L10" s="15" t="s">
        <v>40</v>
      </c>
      <c r="M10" s="15" t="s">
        <v>40</v>
      </c>
      <c r="N10" s="15" t="s">
        <v>40</v>
      </c>
      <c r="O10" s="15"/>
      <c r="P10" s="15"/>
      <c r="Q10" s="15"/>
      <c r="R10" s="15"/>
      <c r="S10" s="15"/>
      <c r="T10" s="15"/>
    </row>
    <row r="11" spans="1:20" x14ac:dyDescent="0.5">
      <c r="A11" s="1">
        <f t="shared" si="2"/>
        <v>8</v>
      </c>
      <c r="B11" s="1">
        <v>24010601014</v>
      </c>
      <c r="C11" s="1" t="s">
        <v>10</v>
      </c>
      <c r="D11" s="7">
        <f t="shared" si="1"/>
        <v>1</v>
      </c>
      <c r="E11" s="1" cm="1">
        <f t="array" ref="E11">_xlfn.IFS(D11&gt;=90%,7.5,D11&gt;=80%,6,D11&gt;=70%,4.5,D11&gt;=60%,3,D11&lt;60%,0)</f>
        <v>7.5</v>
      </c>
      <c r="F11" s="1" t="s">
        <v>40</v>
      </c>
      <c r="G11" s="15" t="s">
        <v>40</v>
      </c>
      <c r="H11" s="15" t="s">
        <v>40</v>
      </c>
      <c r="I11" s="15" t="s">
        <v>40</v>
      </c>
      <c r="J11" s="15" t="s">
        <v>40</v>
      </c>
      <c r="K11" s="15" t="s">
        <v>40</v>
      </c>
      <c r="L11" s="15" t="s">
        <v>40</v>
      </c>
      <c r="M11" s="15" t="s">
        <v>40</v>
      </c>
      <c r="N11" s="15" t="s">
        <v>40</v>
      </c>
      <c r="O11" s="15"/>
      <c r="P11" s="15"/>
      <c r="Q11" s="15"/>
      <c r="R11" s="15"/>
      <c r="S11" s="15"/>
      <c r="T11" s="15"/>
    </row>
    <row r="12" spans="1:20" x14ac:dyDescent="0.5">
      <c r="A12" s="18">
        <f t="shared" si="2"/>
        <v>9</v>
      </c>
      <c r="B12" s="1">
        <v>24010601015</v>
      </c>
      <c r="C12" s="1" t="s">
        <v>11</v>
      </c>
      <c r="D12" s="7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40</v>
      </c>
      <c r="G12" s="15" t="s">
        <v>40</v>
      </c>
      <c r="H12" s="15" t="s">
        <v>40</v>
      </c>
      <c r="I12" s="15" t="s">
        <v>40</v>
      </c>
      <c r="J12" s="15" t="s">
        <v>40</v>
      </c>
      <c r="K12" s="15" t="s">
        <v>40</v>
      </c>
      <c r="L12" s="15" t="s">
        <v>40</v>
      </c>
      <c r="M12" s="15" t="s">
        <v>40</v>
      </c>
      <c r="N12" s="15" t="s">
        <v>40</v>
      </c>
      <c r="O12" s="15"/>
      <c r="P12" s="15"/>
      <c r="Q12" s="15"/>
      <c r="R12" s="15"/>
      <c r="S12" s="15"/>
      <c r="T12" s="15"/>
    </row>
    <row r="13" spans="1:20" x14ac:dyDescent="0.5">
      <c r="A13" s="1">
        <f t="shared" si="2"/>
        <v>10</v>
      </c>
      <c r="B13" s="1">
        <v>24010601017</v>
      </c>
      <c r="C13" s="1" t="s">
        <v>12</v>
      </c>
      <c r="D13" s="7">
        <f t="shared" si="1"/>
        <v>0.77777777777777779</v>
      </c>
      <c r="E13" s="1" cm="1">
        <f t="array" ref="E13">_xlfn.IFS(D13&gt;=90%,7.5,D13&gt;=80%,6,D13&gt;=70%,4.5,D13&gt;=60%,3,D13&lt;60%,0)</f>
        <v>4.5</v>
      </c>
      <c r="F13" s="1" t="s">
        <v>40</v>
      </c>
      <c r="G13" s="12" t="s">
        <v>39</v>
      </c>
      <c r="H13" s="15" t="s">
        <v>40</v>
      </c>
      <c r="I13" s="15" t="s">
        <v>40</v>
      </c>
      <c r="J13" s="15" t="s">
        <v>40</v>
      </c>
      <c r="K13" s="15" t="s">
        <v>40</v>
      </c>
      <c r="L13" s="15" t="s">
        <v>40</v>
      </c>
      <c r="M13" s="12" t="s">
        <v>39</v>
      </c>
      <c r="N13" s="15" t="s">
        <v>40</v>
      </c>
      <c r="O13" s="15"/>
      <c r="P13" s="15"/>
      <c r="Q13" s="15"/>
      <c r="R13" s="15"/>
      <c r="S13" s="15"/>
      <c r="T13" s="15"/>
    </row>
    <row r="14" spans="1:20" x14ac:dyDescent="0.5">
      <c r="A14" s="1">
        <f t="shared" si="2"/>
        <v>11</v>
      </c>
      <c r="B14" s="1">
        <v>24010601018</v>
      </c>
      <c r="C14" s="1" t="s">
        <v>13</v>
      </c>
      <c r="D14" s="7">
        <f t="shared" si="1"/>
        <v>1</v>
      </c>
      <c r="E14" s="1" cm="1">
        <f t="array" ref="E14">_xlfn.IFS(D14&gt;=90%,7.5,D14&gt;=80%,6,D14&gt;=70%,4.5,D14&gt;=60%,3,D14&lt;60%,0)</f>
        <v>7.5</v>
      </c>
      <c r="F14" s="1" t="s">
        <v>40</v>
      </c>
      <c r="G14" s="15" t="s">
        <v>40</v>
      </c>
      <c r="H14" s="15" t="s">
        <v>40</v>
      </c>
      <c r="I14" s="15" t="s">
        <v>40</v>
      </c>
      <c r="J14" s="15" t="s">
        <v>40</v>
      </c>
      <c r="K14" s="15" t="s">
        <v>40</v>
      </c>
      <c r="L14" s="15" t="s">
        <v>40</v>
      </c>
      <c r="M14" s="15" t="s">
        <v>40</v>
      </c>
      <c r="N14" s="15" t="s">
        <v>40</v>
      </c>
      <c r="O14" s="15"/>
      <c r="P14" s="15"/>
      <c r="Q14" s="15"/>
      <c r="R14" s="15"/>
      <c r="S14" s="15"/>
      <c r="T14" s="15"/>
    </row>
    <row r="15" spans="1:20" x14ac:dyDescent="0.5">
      <c r="A15" s="1">
        <f t="shared" si="2"/>
        <v>12</v>
      </c>
      <c r="B15" s="1">
        <v>24010601019</v>
      </c>
      <c r="C15" s="1" t="s">
        <v>14</v>
      </c>
      <c r="D15" s="7">
        <f t="shared" si="1"/>
        <v>0.88888888888888884</v>
      </c>
      <c r="E15" s="1" cm="1">
        <f t="array" ref="E15">_xlfn.IFS(D15&gt;=90%,7.5,D15&gt;=80%,6,D15&gt;=70%,4.5,D15&gt;=60%,3,D15&lt;60%,0)</f>
        <v>6</v>
      </c>
      <c r="F15" s="1" t="s">
        <v>40</v>
      </c>
      <c r="G15" s="15" t="s">
        <v>40</v>
      </c>
      <c r="H15" s="12" t="s">
        <v>39</v>
      </c>
      <c r="I15" s="15" t="s">
        <v>40</v>
      </c>
      <c r="J15" s="15" t="s">
        <v>40</v>
      </c>
      <c r="K15" s="15" t="s">
        <v>40</v>
      </c>
      <c r="L15" s="15" t="s">
        <v>40</v>
      </c>
      <c r="M15" s="15" t="s">
        <v>40</v>
      </c>
      <c r="N15" s="15" t="s">
        <v>40</v>
      </c>
      <c r="O15" s="15"/>
      <c r="P15" s="15"/>
      <c r="Q15" s="15"/>
      <c r="R15" s="15"/>
      <c r="S15" s="15"/>
      <c r="T15" s="15"/>
    </row>
    <row r="16" spans="1:20" x14ac:dyDescent="0.5">
      <c r="A16" s="1">
        <f t="shared" si="2"/>
        <v>13</v>
      </c>
      <c r="B16" s="1">
        <v>24010601022</v>
      </c>
      <c r="C16" s="1" t="s">
        <v>15</v>
      </c>
      <c r="D16" s="7">
        <f t="shared" si="1"/>
        <v>0.88888888888888884</v>
      </c>
      <c r="E16" s="1" cm="1">
        <f t="array" ref="E16">_xlfn.IFS(D16&gt;=90%,7.5,D16&gt;=80%,6,D16&gt;=70%,4.5,D16&gt;=60%,3,D16&lt;60%,0)</f>
        <v>6</v>
      </c>
      <c r="F16" s="12" t="s">
        <v>39</v>
      </c>
      <c r="G16" s="15" t="s">
        <v>40</v>
      </c>
      <c r="H16" s="15" t="s">
        <v>40</v>
      </c>
      <c r="I16" s="15" t="s">
        <v>40</v>
      </c>
      <c r="J16" s="15" t="s">
        <v>40</v>
      </c>
      <c r="K16" s="15" t="s">
        <v>40</v>
      </c>
      <c r="L16" s="15" t="s">
        <v>40</v>
      </c>
      <c r="M16" s="15" t="s">
        <v>40</v>
      </c>
      <c r="N16" s="15" t="s">
        <v>40</v>
      </c>
      <c r="O16" s="15"/>
      <c r="P16" s="15"/>
      <c r="Q16" s="15"/>
      <c r="R16" s="15"/>
      <c r="S16" s="15"/>
      <c r="T16" s="15"/>
    </row>
    <row r="17" spans="1:20" x14ac:dyDescent="0.5">
      <c r="A17" s="1">
        <f t="shared" si="2"/>
        <v>14</v>
      </c>
      <c r="B17" s="1">
        <v>24010601023</v>
      </c>
      <c r="C17" s="1" t="s">
        <v>16</v>
      </c>
      <c r="D17" s="7">
        <f t="shared" si="1"/>
        <v>0.77777777777777779</v>
      </c>
      <c r="E17" s="1" cm="1">
        <f t="array" ref="E17">_xlfn.IFS(D17&gt;=90%,7.5,D17&gt;=80%,6,D17&gt;=70%,4.5,D17&gt;=60%,3,D17&lt;60%,0)</f>
        <v>4.5</v>
      </c>
      <c r="F17" s="1" t="s">
        <v>40</v>
      </c>
      <c r="G17" s="12" t="s">
        <v>39</v>
      </c>
      <c r="H17" s="15" t="s">
        <v>40</v>
      </c>
      <c r="I17" s="15" t="s">
        <v>40</v>
      </c>
      <c r="J17" s="15" t="s">
        <v>40</v>
      </c>
      <c r="K17" s="15" t="s">
        <v>40</v>
      </c>
      <c r="L17" s="15" t="s">
        <v>40</v>
      </c>
      <c r="M17" s="15" t="s">
        <v>40</v>
      </c>
      <c r="N17" s="12" t="s">
        <v>39</v>
      </c>
      <c r="O17" s="15"/>
      <c r="P17" s="15"/>
      <c r="Q17" s="15"/>
      <c r="R17" s="15"/>
      <c r="S17" s="15"/>
      <c r="T17" s="15"/>
    </row>
    <row r="18" spans="1:20" x14ac:dyDescent="0.5">
      <c r="A18" s="1">
        <f t="shared" si="2"/>
        <v>15</v>
      </c>
      <c r="B18" s="1">
        <v>24010601024</v>
      </c>
      <c r="C18" s="1" t="s">
        <v>17</v>
      </c>
      <c r="D18" s="7">
        <f t="shared" si="1"/>
        <v>0.88888888888888884</v>
      </c>
      <c r="E18" s="1" cm="1">
        <f t="array" ref="E18">_xlfn.IFS(D18&gt;=90%,7.5,D18&gt;=80%,6,D18&gt;=70%,4.5,D18&gt;=60%,3,D18&lt;60%,0)</f>
        <v>6</v>
      </c>
      <c r="F18" s="1" t="s">
        <v>40</v>
      </c>
      <c r="G18" s="12" t="s">
        <v>39</v>
      </c>
      <c r="H18" s="15" t="s">
        <v>40</v>
      </c>
      <c r="I18" s="15" t="s">
        <v>40</v>
      </c>
      <c r="J18" s="15" t="s">
        <v>40</v>
      </c>
      <c r="K18" s="15" t="s">
        <v>40</v>
      </c>
      <c r="L18" s="15" t="s">
        <v>40</v>
      </c>
      <c r="M18" s="15" t="s">
        <v>40</v>
      </c>
      <c r="N18" s="15" t="s">
        <v>40</v>
      </c>
      <c r="O18" s="15"/>
      <c r="P18" s="15"/>
      <c r="Q18" s="15"/>
      <c r="R18" s="15"/>
      <c r="S18" s="15"/>
      <c r="T18" s="15"/>
    </row>
    <row r="19" spans="1:20" x14ac:dyDescent="0.5">
      <c r="A19" s="1">
        <f t="shared" si="2"/>
        <v>16</v>
      </c>
      <c r="B19" s="1">
        <v>24010601025</v>
      </c>
      <c r="C19" s="1" t="s">
        <v>18</v>
      </c>
      <c r="D19" s="7">
        <f t="shared" si="1"/>
        <v>0.66666666666666663</v>
      </c>
      <c r="E19" s="1" cm="1">
        <f t="array" ref="E19">_xlfn.IFS(D19&gt;=90%,7.5,D19&gt;=80%,6,D19&gt;=70%,4.5,D19&gt;=60%,3,D19&lt;60%,0)</f>
        <v>3</v>
      </c>
      <c r="F19" s="1" t="s">
        <v>40</v>
      </c>
      <c r="G19" s="15" t="s">
        <v>40</v>
      </c>
      <c r="H19" s="15" t="s">
        <v>40</v>
      </c>
      <c r="I19" s="12" t="s">
        <v>39</v>
      </c>
      <c r="J19" s="12" t="s">
        <v>39</v>
      </c>
      <c r="K19" s="15" t="s">
        <v>40</v>
      </c>
      <c r="L19" s="15" t="s">
        <v>40</v>
      </c>
      <c r="M19" s="12" t="s">
        <v>39</v>
      </c>
      <c r="N19" s="15" t="s">
        <v>40</v>
      </c>
      <c r="O19" s="15"/>
      <c r="P19" s="15"/>
      <c r="Q19" s="15"/>
      <c r="R19" s="15"/>
      <c r="S19" s="15"/>
      <c r="T19" s="15"/>
    </row>
    <row r="20" spans="1:20" x14ac:dyDescent="0.5">
      <c r="A20" s="1">
        <f t="shared" si="2"/>
        <v>17</v>
      </c>
      <c r="B20" s="1">
        <v>24010601026</v>
      </c>
      <c r="C20" s="1" t="s">
        <v>19</v>
      </c>
      <c r="D20" s="7">
        <f t="shared" si="1"/>
        <v>1</v>
      </c>
      <c r="E20" s="1" cm="1">
        <f t="array" ref="E20">_xlfn.IFS(D20&gt;=90%,7.5,D20&gt;=80%,6,D20&gt;=70%,4.5,D20&gt;=60%,3,D20&lt;60%,0)</f>
        <v>7.5</v>
      </c>
      <c r="F20" s="1" t="s">
        <v>40</v>
      </c>
      <c r="G20" s="15" t="s">
        <v>40</v>
      </c>
      <c r="H20" s="15" t="s">
        <v>40</v>
      </c>
      <c r="I20" s="15" t="s">
        <v>40</v>
      </c>
      <c r="J20" s="15" t="s">
        <v>40</v>
      </c>
      <c r="K20" s="15" t="s">
        <v>40</v>
      </c>
      <c r="L20" s="15" t="s">
        <v>40</v>
      </c>
      <c r="M20" s="15" t="s">
        <v>40</v>
      </c>
      <c r="N20" s="15" t="s">
        <v>40</v>
      </c>
      <c r="O20" s="15"/>
      <c r="P20" s="15"/>
      <c r="Q20" s="15"/>
      <c r="R20" s="15"/>
      <c r="S20" s="15"/>
      <c r="T20" s="15"/>
    </row>
    <row r="21" spans="1:20" x14ac:dyDescent="0.5">
      <c r="A21" s="1">
        <f t="shared" si="2"/>
        <v>18</v>
      </c>
      <c r="B21" s="1">
        <v>24010601027</v>
      </c>
      <c r="C21" s="1" t="s">
        <v>20</v>
      </c>
      <c r="D21" s="7">
        <f t="shared" si="1"/>
        <v>1</v>
      </c>
      <c r="E21" s="1" cm="1">
        <f t="array" ref="E21">_xlfn.IFS(D21&gt;=90%,7.5,D21&gt;=80%,6,D21&gt;=70%,4.5,D21&gt;=60%,3,D21&lt;60%,0)</f>
        <v>7.5</v>
      </c>
      <c r="F21" s="1" t="s">
        <v>40</v>
      </c>
      <c r="G21" s="15" t="s">
        <v>40</v>
      </c>
      <c r="H21" s="15" t="s">
        <v>40</v>
      </c>
      <c r="I21" s="15" t="s">
        <v>40</v>
      </c>
      <c r="J21" s="15" t="s">
        <v>40</v>
      </c>
      <c r="K21" s="15" t="s">
        <v>40</v>
      </c>
      <c r="L21" s="15" t="s">
        <v>40</v>
      </c>
      <c r="M21" s="15" t="s">
        <v>40</v>
      </c>
      <c r="N21" s="15" t="s">
        <v>40</v>
      </c>
      <c r="O21" s="15"/>
      <c r="P21" s="15"/>
      <c r="Q21" s="15"/>
      <c r="R21" s="15"/>
      <c r="S21" s="15"/>
      <c r="T21" s="15"/>
    </row>
    <row r="22" spans="1:20" x14ac:dyDescent="0.5">
      <c r="A22" s="1">
        <f t="shared" si="2"/>
        <v>19</v>
      </c>
      <c r="B22" s="1">
        <v>24010601028</v>
      </c>
      <c r="C22" s="1" t="s">
        <v>21</v>
      </c>
      <c r="D22" s="7">
        <f t="shared" si="1"/>
        <v>0.88888888888888884</v>
      </c>
      <c r="E22" s="1" cm="1">
        <f t="array" ref="E22">_xlfn.IFS(D22&gt;=90%,7.5,D22&gt;=80%,6,D22&gt;=70%,4.5,D22&gt;=60%,3,D22&lt;60%,0)</f>
        <v>6</v>
      </c>
      <c r="F22" s="1" t="s">
        <v>40</v>
      </c>
      <c r="G22" s="12" t="s">
        <v>39</v>
      </c>
      <c r="H22" s="15" t="s">
        <v>40</v>
      </c>
      <c r="I22" s="15" t="s">
        <v>40</v>
      </c>
      <c r="J22" s="15" t="s">
        <v>40</v>
      </c>
      <c r="K22" s="15" t="s">
        <v>40</v>
      </c>
      <c r="L22" s="15" t="s">
        <v>40</v>
      </c>
      <c r="M22" s="15" t="s">
        <v>40</v>
      </c>
      <c r="N22" s="15" t="s">
        <v>40</v>
      </c>
      <c r="O22" s="15"/>
      <c r="P22" s="15"/>
      <c r="Q22" s="15"/>
      <c r="R22" s="15"/>
      <c r="S22" s="15"/>
      <c r="T22" s="15"/>
    </row>
    <row r="23" spans="1:20" x14ac:dyDescent="0.5">
      <c r="A23" s="1">
        <f t="shared" si="2"/>
        <v>20</v>
      </c>
      <c r="B23" s="1">
        <v>24010601029</v>
      </c>
      <c r="C23" s="1" t="s">
        <v>22</v>
      </c>
      <c r="D23" s="7">
        <f t="shared" si="1"/>
        <v>1</v>
      </c>
      <c r="E23" s="1" cm="1">
        <f t="array" ref="E23">_xlfn.IFS(D23&gt;=90%,7.5,D23&gt;=80%,6,D23&gt;=70%,4.5,D23&gt;=60%,3,D23&lt;60%,0)</f>
        <v>7.5</v>
      </c>
      <c r="F23" s="1" t="s">
        <v>40</v>
      </c>
      <c r="G23" s="15" t="s">
        <v>40</v>
      </c>
      <c r="H23" s="15" t="s">
        <v>40</v>
      </c>
      <c r="I23" s="15" t="s">
        <v>40</v>
      </c>
      <c r="J23" s="15" t="s">
        <v>40</v>
      </c>
      <c r="K23" s="15" t="s">
        <v>40</v>
      </c>
      <c r="L23" s="15" t="s">
        <v>40</v>
      </c>
      <c r="M23" s="15" t="s">
        <v>40</v>
      </c>
      <c r="N23" s="15" t="s">
        <v>40</v>
      </c>
      <c r="O23" s="15"/>
      <c r="P23" s="15"/>
      <c r="Q23" s="15"/>
      <c r="R23" s="15"/>
      <c r="S23" s="15"/>
      <c r="T23" s="15"/>
    </row>
    <row r="24" spans="1:20" x14ac:dyDescent="0.5">
      <c r="A24" s="1">
        <f t="shared" si="2"/>
        <v>21</v>
      </c>
      <c r="B24" s="1">
        <v>24010601031</v>
      </c>
      <c r="C24" s="1" t="s">
        <v>23</v>
      </c>
      <c r="D24" s="7">
        <f t="shared" si="1"/>
        <v>0.88888888888888884</v>
      </c>
      <c r="E24" s="1" cm="1">
        <f t="array" ref="E24">_xlfn.IFS(D24&gt;=90%,7.5,D24&gt;=80%,6,D24&gt;=70%,4.5,D24&gt;=60%,3,D24&lt;60%,0)</f>
        <v>6</v>
      </c>
      <c r="F24" s="1" t="s">
        <v>40</v>
      </c>
      <c r="G24" s="15" t="s">
        <v>40</v>
      </c>
      <c r="H24" s="15" t="s">
        <v>40</v>
      </c>
      <c r="I24" s="15" t="s">
        <v>40</v>
      </c>
      <c r="J24" s="15" t="s">
        <v>40</v>
      </c>
      <c r="K24" s="15" t="s">
        <v>40</v>
      </c>
      <c r="L24" s="15" t="s">
        <v>40</v>
      </c>
      <c r="M24" s="15" t="s">
        <v>40</v>
      </c>
      <c r="N24" s="12" t="s">
        <v>39</v>
      </c>
      <c r="O24" s="15"/>
      <c r="P24" s="15"/>
      <c r="Q24" s="15"/>
      <c r="R24" s="15"/>
      <c r="S24" s="15"/>
      <c r="T24" s="15"/>
    </row>
    <row r="25" spans="1:20" x14ac:dyDescent="0.5">
      <c r="A25" s="1">
        <f t="shared" si="2"/>
        <v>22</v>
      </c>
      <c r="B25" s="1">
        <v>24010601032</v>
      </c>
      <c r="C25" s="1" t="s">
        <v>24</v>
      </c>
      <c r="D25" s="7">
        <f t="shared" si="1"/>
        <v>0.77777777777777779</v>
      </c>
      <c r="E25" s="1" cm="1">
        <f t="array" ref="E25">_xlfn.IFS(D25&gt;=90%,7.5,D25&gt;=80%,6,D25&gt;=70%,4.5,D25&gt;=60%,3,D25&lt;60%,0)</f>
        <v>4.5</v>
      </c>
      <c r="F25" s="1" t="s">
        <v>40</v>
      </c>
      <c r="G25" s="15" t="s">
        <v>40</v>
      </c>
      <c r="H25" s="15" t="s">
        <v>40</v>
      </c>
      <c r="I25" s="15" t="s">
        <v>40</v>
      </c>
      <c r="J25" s="12" t="s">
        <v>39</v>
      </c>
      <c r="K25" s="15" t="s">
        <v>40</v>
      </c>
      <c r="L25" s="15" t="s">
        <v>40</v>
      </c>
      <c r="M25" s="15" t="s">
        <v>40</v>
      </c>
      <c r="N25" s="12" t="s">
        <v>39</v>
      </c>
      <c r="O25" s="15"/>
      <c r="P25" s="15"/>
      <c r="Q25" s="15"/>
      <c r="R25" s="15"/>
      <c r="S25" s="15"/>
      <c r="T25" s="15"/>
    </row>
    <row r="26" spans="1:20" x14ac:dyDescent="0.5">
      <c r="A26" s="1">
        <f t="shared" si="2"/>
        <v>23</v>
      </c>
      <c r="B26" s="1">
        <v>24010601033</v>
      </c>
      <c r="C26" s="1" t="s">
        <v>25</v>
      </c>
      <c r="D26" s="7">
        <f t="shared" si="1"/>
        <v>1</v>
      </c>
      <c r="E26" s="1" cm="1">
        <f t="array" ref="E26">_xlfn.IFS(D26&gt;=90%,7.5,D26&gt;=80%,6,D26&gt;=70%,4.5,D26&gt;=60%,3,D26&lt;60%,0)</f>
        <v>7.5</v>
      </c>
      <c r="F26" s="1" t="s">
        <v>40</v>
      </c>
      <c r="G26" s="15" t="s">
        <v>40</v>
      </c>
      <c r="H26" s="15" t="s">
        <v>40</v>
      </c>
      <c r="I26" s="15" t="s">
        <v>40</v>
      </c>
      <c r="J26" s="15" t="s">
        <v>40</v>
      </c>
      <c r="K26" s="15" t="s">
        <v>40</v>
      </c>
      <c r="L26" s="15" t="s">
        <v>40</v>
      </c>
      <c r="M26" s="15" t="s">
        <v>40</v>
      </c>
      <c r="N26" s="15" t="s">
        <v>40</v>
      </c>
      <c r="O26" s="15"/>
      <c r="P26" s="15"/>
      <c r="Q26" s="15"/>
      <c r="R26" s="15"/>
      <c r="S26" s="15"/>
      <c r="T26" s="15"/>
    </row>
    <row r="27" spans="1:20" x14ac:dyDescent="0.5">
      <c r="A27" s="1">
        <f t="shared" si="2"/>
        <v>24</v>
      </c>
      <c r="B27" s="1">
        <v>23010601015</v>
      </c>
      <c r="C27" s="1" t="s">
        <v>26</v>
      </c>
      <c r="D27" s="7">
        <f t="shared" si="1"/>
        <v>0.88888888888888884</v>
      </c>
      <c r="E27" s="1" cm="1">
        <f t="array" ref="E27">_xlfn.IFS(D27&gt;=90%,7.5,D27&gt;=80%,6,D27&gt;=70%,4.5,D27&gt;=60%,3,D27&lt;60%,0)</f>
        <v>6</v>
      </c>
      <c r="F27" s="12" t="s">
        <v>39</v>
      </c>
      <c r="G27" s="15" t="s">
        <v>40</v>
      </c>
      <c r="H27" s="15" t="s">
        <v>40</v>
      </c>
      <c r="I27" s="15" t="s">
        <v>40</v>
      </c>
      <c r="J27" s="15" t="s">
        <v>40</v>
      </c>
      <c r="K27" s="15" t="s">
        <v>40</v>
      </c>
      <c r="L27" s="15" t="s">
        <v>40</v>
      </c>
      <c r="M27" s="15" t="s">
        <v>40</v>
      </c>
      <c r="N27" s="15" t="s">
        <v>40</v>
      </c>
      <c r="O27" s="15"/>
      <c r="P27" s="15"/>
      <c r="Q27" s="15"/>
      <c r="R27" s="15"/>
      <c r="S27" s="15"/>
      <c r="T27" s="15"/>
    </row>
    <row r="28" spans="1:20" x14ac:dyDescent="0.5">
      <c r="A28" s="1">
        <f t="shared" si="2"/>
        <v>25</v>
      </c>
      <c r="B28" s="1">
        <v>23010601024</v>
      </c>
      <c r="C28" s="1" t="s">
        <v>27</v>
      </c>
      <c r="D28" s="7">
        <f t="shared" si="1"/>
        <v>0.77777777777777779</v>
      </c>
      <c r="E28" s="1" cm="1">
        <f t="array" ref="E28">_xlfn.IFS(D28&gt;=90%,7.5,D28&gt;=80%,6,D28&gt;=70%,4.5,D28&gt;=60%,3,D28&lt;60%,0)</f>
        <v>4.5</v>
      </c>
      <c r="F28" s="1" t="s">
        <v>40</v>
      </c>
      <c r="G28" s="15" t="s">
        <v>40</v>
      </c>
      <c r="H28" s="15" t="s">
        <v>40</v>
      </c>
      <c r="I28" s="12" t="s">
        <v>39</v>
      </c>
      <c r="J28" s="12" t="s">
        <v>39</v>
      </c>
      <c r="K28" s="15" t="s">
        <v>40</v>
      </c>
      <c r="L28" s="15" t="s">
        <v>40</v>
      </c>
      <c r="M28" s="15" t="s">
        <v>40</v>
      </c>
      <c r="N28" s="15" t="s">
        <v>40</v>
      </c>
      <c r="O28" s="15"/>
      <c r="P28" s="15"/>
      <c r="Q28" s="15"/>
      <c r="R28" s="15"/>
      <c r="S28" s="15"/>
      <c r="T28" s="15"/>
    </row>
    <row r="29" spans="1:20" x14ac:dyDescent="0.5">
      <c r="A29" s="1">
        <f t="shared" si="2"/>
        <v>26</v>
      </c>
      <c r="B29" s="1" t="s">
        <v>28</v>
      </c>
      <c r="C29" s="1" t="s">
        <v>29</v>
      </c>
      <c r="D29" s="7">
        <f t="shared" si="1"/>
        <v>0.88888888888888884</v>
      </c>
      <c r="E29" s="1" cm="1">
        <f t="array" ref="E29">_xlfn.IFS(D29&gt;=90%,7.5,D29&gt;=80%,6,D29&gt;=70%,4.5,D29&gt;=60%,3,D29&lt;60%,0)</f>
        <v>6</v>
      </c>
      <c r="F29" s="1" t="s">
        <v>40</v>
      </c>
      <c r="G29" s="12" t="s">
        <v>39</v>
      </c>
      <c r="H29" s="15" t="s">
        <v>40</v>
      </c>
      <c r="I29" s="15" t="s">
        <v>40</v>
      </c>
      <c r="J29" s="15" t="s">
        <v>40</v>
      </c>
      <c r="K29" s="15" t="s">
        <v>40</v>
      </c>
      <c r="L29" s="15" t="s">
        <v>40</v>
      </c>
      <c r="M29" s="15" t="s">
        <v>40</v>
      </c>
      <c r="N29" s="15" t="s">
        <v>40</v>
      </c>
      <c r="O29" s="15"/>
      <c r="P29" s="15"/>
      <c r="Q29" s="15"/>
      <c r="R29" s="15"/>
      <c r="S29" s="15"/>
      <c r="T29" s="15"/>
    </row>
    <row r="30" spans="1:20" x14ac:dyDescent="0.5">
      <c r="A30" s="1">
        <f t="shared" si="2"/>
        <v>27</v>
      </c>
      <c r="B30" s="1" t="s">
        <v>30</v>
      </c>
      <c r="C30" s="1" t="s">
        <v>31</v>
      </c>
      <c r="D30" s="7">
        <f t="shared" si="1"/>
        <v>0.88888888888888884</v>
      </c>
      <c r="E30" s="1" cm="1">
        <f t="array" ref="E30">_xlfn.IFS(D30&gt;=90%,7.5,D30&gt;=80%,6,D30&gt;=70%,4.5,D30&gt;=60%,3,D30&lt;60%,0)</f>
        <v>6</v>
      </c>
      <c r="F30" s="12" t="s">
        <v>39</v>
      </c>
      <c r="G30" s="15" t="s">
        <v>40</v>
      </c>
      <c r="H30" s="15" t="s">
        <v>40</v>
      </c>
      <c r="I30" s="15" t="s">
        <v>40</v>
      </c>
      <c r="J30" s="15" t="s">
        <v>40</v>
      </c>
      <c r="K30" s="15" t="s">
        <v>40</v>
      </c>
      <c r="L30" s="15" t="s">
        <v>40</v>
      </c>
      <c r="M30" s="15" t="s">
        <v>40</v>
      </c>
      <c r="N30" s="15" t="s">
        <v>40</v>
      </c>
      <c r="O30" s="15"/>
      <c r="P30" s="15"/>
      <c r="Q30" s="15"/>
      <c r="R30" s="15"/>
      <c r="S30" s="15"/>
      <c r="T30" s="15"/>
    </row>
  </sheetData>
  <autoFilter ref="A3:F30" xr:uid="{00000000-0009-0000-0000-000000000000}"/>
  <mergeCells count="1">
    <mergeCell ref="A1:B1"/>
  </mergeCells>
  <conditionalFormatting sqref="D4:D30">
    <cfRule type="cellIs" dxfId="5" priority="4" operator="lessThan">
      <formula>0.6</formula>
    </cfRule>
    <cfRule type="cellIs" dxfId="4" priority="5" operator="greaterThan">
      <formula>0.9</formula>
    </cfRule>
    <cfRule type="cellIs" dxfId="3" priority="6" operator="between">
      <formula>0.6</formula>
      <formula>0.89</formula>
    </cfRule>
  </conditionalFormatting>
  <conditionalFormatting sqref="E4:E30">
    <cfRule type="cellIs" dxfId="2" priority="1" operator="lessThan">
      <formula>3</formula>
    </cfRule>
    <cfRule type="cellIs" dxfId="1" priority="2" operator="between">
      <formula>2</formula>
      <formula>5.5</formula>
    </cfRule>
    <cfRule type="cellIs" dxfId="0" priority="3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F02D-228B-4C63-98C5-F7BA32FDAAA2}">
  <sheetPr>
    <pageSetUpPr fitToPage="1"/>
  </sheetPr>
  <dimension ref="A1:I30"/>
  <sheetViews>
    <sheetView zoomScale="99" workbookViewId="0">
      <pane xSplit="3" ySplit="3" topLeftCell="D9" activePane="bottomRight" state="frozen"/>
      <selection pane="topRight" activeCell="E1" sqref="E1"/>
      <selection pane="bottomLeft" activeCell="A4" sqref="A4"/>
      <selection pane="bottomRight" activeCell="H11" sqref="H11"/>
    </sheetView>
  </sheetViews>
  <sheetFormatPr defaultRowHeight="19.2" x14ac:dyDescent="0.3"/>
  <cols>
    <col min="1" max="1" width="8.109375" style="8" bestFit="1" customWidth="1"/>
    <col min="2" max="2" width="18.109375" style="8" bestFit="1" customWidth="1"/>
    <col min="3" max="3" width="34.6640625" style="8" bestFit="1" customWidth="1"/>
    <col min="4" max="4" width="26.44140625" style="8" customWidth="1"/>
    <col min="5" max="5" width="21.5546875" style="8" bestFit="1" customWidth="1"/>
    <col min="6" max="6" width="10.109375" style="8" customWidth="1"/>
    <col min="7" max="7" width="11.109375" style="8" customWidth="1"/>
    <col min="8" max="8" width="25.5546875" style="8" customWidth="1"/>
    <col min="9" max="9" width="25.44140625" style="8" customWidth="1"/>
    <col min="10" max="16384" width="8.88671875" style="8"/>
  </cols>
  <sheetData>
    <row r="1" spans="1:9" x14ac:dyDescent="0.3">
      <c r="A1" s="25" t="s">
        <v>41</v>
      </c>
      <c r="B1" s="25"/>
      <c r="C1" s="4" t="s">
        <v>34</v>
      </c>
      <c r="D1" s="9" t="s">
        <v>36</v>
      </c>
      <c r="E1" s="9" t="s">
        <v>53</v>
      </c>
      <c r="F1" s="26" t="s">
        <v>37</v>
      </c>
      <c r="G1" s="26"/>
      <c r="H1" s="27" t="s">
        <v>43</v>
      </c>
      <c r="I1" s="27" t="s">
        <v>44</v>
      </c>
    </row>
    <row r="2" spans="1:9" x14ac:dyDescent="0.3">
      <c r="A2" s="4" t="s">
        <v>32</v>
      </c>
      <c r="B2" s="4">
        <f>COUNT(A4:A30)</f>
        <v>27</v>
      </c>
      <c r="C2" s="4" t="s">
        <v>51</v>
      </c>
      <c r="D2" s="9" t="s">
        <v>38</v>
      </c>
      <c r="E2" s="9" t="s">
        <v>52</v>
      </c>
      <c r="F2" s="26"/>
      <c r="G2" s="26"/>
      <c r="H2" s="27"/>
      <c r="I2" s="27"/>
    </row>
    <row r="3" spans="1:9" s="14" customFormat="1" x14ac:dyDescent="0.3">
      <c r="A3" s="2" t="s">
        <v>0</v>
      </c>
      <c r="B3" s="2" t="s">
        <v>1</v>
      </c>
      <c r="C3" s="2" t="s">
        <v>2</v>
      </c>
      <c r="D3" s="19">
        <v>7.5</v>
      </c>
      <c r="E3" s="19">
        <v>7.5</v>
      </c>
      <c r="F3" s="10">
        <v>15</v>
      </c>
      <c r="G3" s="10">
        <v>7.5</v>
      </c>
      <c r="H3" s="27"/>
      <c r="I3" s="27"/>
    </row>
    <row r="4" spans="1:9" x14ac:dyDescent="0.3">
      <c r="A4" s="1">
        <v>1</v>
      </c>
      <c r="B4" s="1">
        <v>24010601001</v>
      </c>
      <c r="C4" s="1" t="s">
        <v>3</v>
      </c>
      <c r="D4" s="11">
        <v>7</v>
      </c>
      <c r="E4" s="11"/>
      <c r="F4" s="11">
        <f t="shared" ref="F4:F30" si="0">SUM(D4:E4)</f>
        <v>7</v>
      </c>
      <c r="G4" s="11">
        <f>F4/2</f>
        <v>3.5</v>
      </c>
      <c r="H4" s="1"/>
      <c r="I4" s="1"/>
    </row>
    <row r="5" spans="1:9" x14ac:dyDescent="0.3">
      <c r="A5" s="1">
        <f>A4+1</f>
        <v>2</v>
      </c>
      <c r="B5" s="1">
        <v>24010601003</v>
      </c>
      <c r="C5" s="1" t="s">
        <v>4</v>
      </c>
      <c r="D5" s="11">
        <v>7</v>
      </c>
      <c r="E5" s="11"/>
      <c r="F5" s="11">
        <f t="shared" si="0"/>
        <v>7</v>
      </c>
      <c r="G5" s="11">
        <f t="shared" ref="G5:G30" si="1">F5/2</f>
        <v>3.5</v>
      </c>
      <c r="H5" s="1"/>
      <c r="I5" s="1"/>
    </row>
    <row r="6" spans="1:9" x14ac:dyDescent="0.3">
      <c r="A6" s="1">
        <f t="shared" ref="A6:A30" si="2">A5+1</f>
        <v>3</v>
      </c>
      <c r="B6" s="1">
        <v>24010601004</v>
      </c>
      <c r="C6" s="1" t="s">
        <v>5</v>
      </c>
      <c r="D6" s="11">
        <v>6</v>
      </c>
      <c r="E6" s="11"/>
      <c r="F6" s="11">
        <f t="shared" si="0"/>
        <v>6</v>
      </c>
      <c r="G6" s="11">
        <f t="shared" si="1"/>
        <v>3</v>
      </c>
      <c r="H6" s="1"/>
      <c r="I6" s="1"/>
    </row>
    <row r="7" spans="1:9" x14ac:dyDescent="0.3">
      <c r="A7" s="1">
        <f t="shared" si="2"/>
        <v>4</v>
      </c>
      <c r="B7" s="1">
        <v>24010601005</v>
      </c>
      <c r="C7" s="1" t="s">
        <v>6</v>
      </c>
      <c r="D7" s="11">
        <v>6.5</v>
      </c>
      <c r="E7" s="11"/>
      <c r="F7" s="11">
        <f t="shared" si="0"/>
        <v>6.5</v>
      </c>
      <c r="G7" s="11">
        <f t="shared" si="1"/>
        <v>3.25</v>
      </c>
      <c r="H7" s="1"/>
      <c r="I7" s="1"/>
    </row>
    <row r="8" spans="1:9" x14ac:dyDescent="0.3">
      <c r="A8" s="1">
        <f t="shared" si="2"/>
        <v>5</v>
      </c>
      <c r="B8" s="1">
        <v>24010601006</v>
      </c>
      <c r="C8" s="1" t="s">
        <v>7</v>
      </c>
      <c r="D8" s="11">
        <v>6.5</v>
      </c>
      <c r="E8" s="11"/>
      <c r="F8" s="11">
        <f t="shared" si="0"/>
        <v>6.5</v>
      </c>
      <c r="G8" s="11">
        <f t="shared" si="1"/>
        <v>3.25</v>
      </c>
      <c r="H8" s="1"/>
      <c r="I8" s="1"/>
    </row>
    <row r="9" spans="1:9" x14ac:dyDescent="0.3">
      <c r="A9" s="1">
        <f t="shared" si="2"/>
        <v>6</v>
      </c>
      <c r="B9" s="1">
        <v>24010601009</v>
      </c>
      <c r="C9" s="1" t="s">
        <v>8</v>
      </c>
      <c r="D9" s="11">
        <v>6.5</v>
      </c>
      <c r="E9" s="11"/>
      <c r="F9" s="11">
        <f t="shared" si="0"/>
        <v>6.5</v>
      </c>
      <c r="G9" s="11">
        <f t="shared" si="1"/>
        <v>3.25</v>
      </c>
      <c r="H9" s="1"/>
      <c r="I9" s="1"/>
    </row>
    <row r="10" spans="1:9" x14ac:dyDescent="0.3">
      <c r="A10" s="21">
        <f t="shared" si="2"/>
        <v>7</v>
      </c>
      <c r="B10" s="1">
        <v>24010601011</v>
      </c>
      <c r="C10" s="1" t="s">
        <v>9</v>
      </c>
      <c r="D10" s="11">
        <v>6</v>
      </c>
      <c r="E10" s="11"/>
      <c r="F10" s="11">
        <f t="shared" si="0"/>
        <v>6</v>
      </c>
      <c r="G10" s="11">
        <f t="shared" si="1"/>
        <v>3</v>
      </c>
      <c r="H10" s="1"/>
      <c r="I10" s="1"/>
    </row>
    <row r="11" spans="1:9" x14ac:dyDescent="0.3">
      <c r="A11" s="21">
        <f t="shared" si="2"/>
        <v>8</v>
      </c>
      <c r="B11" s="1">
        <v>24010601014</v>
      </c>
      <c r="C11" s="1" t="s">
        <v>10</v>
      </c>
      <c r="D11" s="11">
        <v>6.5</v>
      </c>
      <c r="E11" s="11"/>
      <c r="F11" s="11">
        <f t="shared" si="0"/>
        <v>6.5</v>
      </c>
      <c r="G11" s="11">
        <f t="shared" si="1"/>
        <v>3.25</v>
      </c>
      <c r="H11" s="1"/>
      <c r="I11" s="1"/>
    </row>
    <row r="12" spans="1:9" x14ac:dyDescent="0.3">
      <c r="A12" s="22">
        <f t="shared" si="2"/>
        <v>9</v>
      </c>
      <c r="B12" s="1">
        <v>24010601015</v>
      </c>
      <c r="C12" s="1" t="s">
        <v>11</v>
      </c>
      <c r="D12" s="11">
        <v>7</v>
      </c>
      <c r="E12" s="11"/>
      <c r="F12" s="11">
        <f t="shared" si="0"/>
        <v>7</v>
      </c>
      <c r="G12" s="11">
        <f t="shared" si="1"/>
        <v>3.5</v>
      </c>
      <c r="H12" s="1"/>
      <c r="I12" s="1"/>
    </row>
    <row r="13" spans="1:9" x14ac:dyDescent="0.3">
      <c r="A13" s="1">
        <f t="shared" si="2"/>
        <v>10</v>
      </c>
      <c r="B13" s="1">
        <v>24010601017</v>
      </c>
      <c r="C13" s="1" t="s">
        <v>12</v>
      </c>
      <c r="D13" s="11">
        <v>7</v>
      </c>
      <c r="E13" s="11"/>
      <c r="F13" s="11">
        <f t="shared" si="0"/>
        <v>7</v>
      </c>
      <c r="G13" s="11">
        <f t="shared" si="1"/>
        <v>3.5</v>
      </c>
      <c r="H13" s="1"/>
      <c r="I13" s="1"/>
    </row>
    <row r="14" spans="1:9" x14ac:dyDescent="0.3">
      <c r="A14" s="1">
        <f t="shared" si="2"/>
        <v>11</v>
      </c>
      <c r="B14" s="1">
        <v>24010601018</v>
      </c>
      <c r="C14" s="1" t="s">
        <v>13</v>
      </c>
      <c r="D14" s="11">
        <v>7</v>
      </c>
      <c r="E14" s="11"/>
      <c r="F14" s="11">
        <f t="shared" si="0"/>
        <v>7</v>
      </c>
      <c r="G14" s="11">
        <f t="shared" si="1"/>
        <v>3.5</v>
      </c>
      <c r="H14" s="1"/>
      <c r="I14" s="1"/>
    </row>
    <row r="15" spans="1:9" x14ac:dyDescent="0.3">
      <c r="A15" s="1">
        <f t="shared" si="2"/>
        <v>12</v>
      </c>
      <c r="B15" s="1">
        <v>24010601019</v>
      </c>
      <c r="C15" s="1" t="s">
        <v>14</v>
      </c>
      <c r="D15" s="11">
        <v>6</v>
      </c>
      <c r="E15" s="11"/>
      <c r="F15" s="11">
        <f t="shared" si="0"/>
        <v>6</v>
      </c>
      <c r="G15" s="11">
        <f t="shared" si="1"/>
        <v>3</v>
      </c>
      <c r="H15" s="1"/>
      <c r="I15" s="1"/>
    </row>
    <row r="16" spans="1:9" x14ac:dyDescent="0.3">
      <c r="A16" s="1">
        <f t="shared" si="2"/>
        <v>13</v>
      </c>
      <c r="B16" s="1">
        <v>24010601022</v>
      </c>
      <c r="C16" s="1" t="s">
        <v>15</v>
      </c>
      <c r="D16" s="11">
        <v>5</v>
      </c>
      <c r="E16" s="11"/>
      <c r="F16" s="11">
        <f t="shared" si="0"/>
        <v>5</v>
      </c>
      <c r="G16" s="11">
        <f t="shared" si="1"/>
        <v>2.5</v>
      </c>
      <c r="H16" s="24" t="s">
        <v>45</v>
      </c>
      <c r="I16" s="1"/>
    </row>
    <row r="17" spans="1:9" x14ac:dyDescent="0.3">
      <c r="A17" s="1">
        <f t="shared" si="2"/>
        <v>14</v>
      </c>
      <c r="B17" s="1">
        <v>24010601023</v>
      </c>
      <c r="C17" s="1" t="s">
        <v>16</v>
      </c>
      <c r="D17" s="11">
        <v>7</v>
      </c>
      <c r="E17" s="11"/>
      <c r="F17" s="11">
        <f t="shared" si="0"/>
        <v>7</v>
      </c>
      <c r="G17" s="11">
        <f t="shared" si="1"/>
        <v>3.5</v>
      </c>
      <c r="H17" s="1"/>
      <c r="I17" s="1"/>
    </row>
    <row r="18" spans="1:9" x14ac:dyDescent="0.3">
      <c r="A18" s="1">
        <f t="shared" si="2"/>
        <v>15</v>
      </c>
      <c r="B18" s="1">
        <v>24010601024</v>
      </c>
      <c r="C18" s="1" t="s">
        <v>17</v>
      </c>
      <c r="D18" s="11">
        <v>6.5</v>
      </c>
      <c r="E18" s="11"/>
      <c r="F18" s="11">
        <f t="shared" si="0"/>
        <v>6.5</v>
      </c>
      <c r="G18" s="11">
        <f t="shared" si="1"/>
        <v>3.25</v>
      </c>
      <c r="H18" s="1"/>
      <c r="I18" s="1"/>
    </row>
    <row r="19" spans="1:9" x14ac:dyDescent="0.3">
      <c r="A19" s="1">
        <f t="shared" si="2"/>
        <v>16</v>
      </c>
      <c r="B19" s="1">
        <v>24010601025</v>
      </c>
      <c r="C19" s="1" t="s">
        <v>18</v>
      </c>
      <c r="D19" s="11">
        <v>6.5</v>
      </c>
      <c r="E19" s="11"/>
      <c r="F19" s="11">
        <f t="shared" si="0"/>
        <v>6.5</v>
      </c>
      <c r="G19" s="11">
        <f t="shared" si="1"/>
        <v>3.25</v>
      </c>
      <c r="H19" s="1"/>
      <c r="I19" s="1"/>
    </row>
    <row r="20" spans="1:9" x14ac:dyDescent="0.3">
      <c r="A20" s="1">
        <f t="shared" si="2"/>
        <v>17</v>
      </c>
      <c r="B20" s="1">
        <v>24010601026</v>
      </c>
      <c r="C20" s="1" t="s">
        <v>19</v>
      </c>
      <c r="D20" s="11">
        <v>6.5</v>
      </c>
      <c r="E20" s="11"/>
      <c r="F20" s="11">
        <f t="shared" si="0"/>
        <v>6.5</v>
      </c>
      <c r="G20" s="11">
        <f t="shared" si="1"/>
        <v>3.25</v>
      </c>
      <c r="H20" s="1"/>
      <c r="I20" s="1"/>
    </row>
    <row r="21" spans="1:9" x14ac:dyDescent="0.3">
      <c r="A21" s="1">
        <f t="shared" si="2"/>
        <v>18</v>
      </c>
      <c r="B21" s="1">
        <v>24010601027</v>
      </c>
      <c r="C21" s="1" t="s">
        <v>20</v>
      </c>
      <c r="D21" s="11">
        <v>7</v>
      </c>
      <c r="E21" s="11"/>
      <c r="F21" s="11">
        <f t="shared" si="0"/>
        <v>7</v>
      </c>
      <c r="G21" s="11">
        <f t="shared" si="1"/>
        <v>3.5</v>
      </c>
      <c r="H21" s="1"/>
      <c r="I21" s="1"/>
    </row>
    <row r="22" spans="1:9" x14ac:dyDescent="0.3">
      <c r="A22" s="1">
        <f t="shared" si="2"/>
        <v>19</v>
      </c>
      <c r="B22" s="1">
        <v>24010601028</v>
      </c>
      <c r="C22" s="1" t="s">
        <v>21</v>
      </c>
      <c r="D22" s="11">
        <v>5</v>
      </c>
      <c r="E22" s="11"/>
      <c r="F22" s="11">
        <f t="shared" si="0"/>
        <v>5</v>
      </c>
      <c r="G22" s="11">
        <f t="shared" si="1"/>
        <v>2.5</v>
      </c>
      <c r="H22" s="24" t="s">
        <v>45</v>
      </c>
      <c r="I22" s="1"/>
    </row>
    <row r="23" spans="1:9" x14ac:dyDescent="0.3">
      <c r="A23" s="1">
        <f t="shared" si="2"/>
        <v>20</v>
      </c>
      <c r="B23" s="1">
        <v>24010601029</v>
      </c>
      <c r="C23" s="1" t="s">
        <v>22</v>
      </c>
      <c r="D23" s="11">
        <v>7</v>
      </c>
      <c r="E23" s="11"/>
      <c r="F23" s="11">
        <f t="shared" si="0"/>
        <v>7</v>
      </c>
      <c r="G23" s="11">
        <f t="shared" si="1"/>
        <v>3.5</v>
      </c>
      <c r="H23" s="1"/>
      <c r="I23" s="1"/>
    </row>
    <row r="24" spans="1:9" x14ac:dyDescent="0.3">
      <c r="A24" s="1">
        <f t="shared" si="2"/>
        <v>21</v>
      </c>
      <c r="B24" s="1">
        <v>24010601031</v>
      </c>
      <c r="C24" s="1" t="s">
        <v>23</v>
      </c>
      <c r="D24" s="11">
        <v>7</v>
      </c>
      <c r="E24" s="11"/>
      <c r="F24" s="11">
        <f t="shared" si="0"/>
        <v>7</v>
      </c>
      <c r="G24" s="11">
        <f t="shared" si="1"/>
        <v>3.5</v>
      </c>
      <c r="H24" s="1"/>
      <c r="I24" s="1"/>
    </row>
    <row r="25" spans="1:9" x14ac:dyDescent="0.3">
      <c r="A25" s="1">
        <f t="shared" si="2"/>
        <v>22</v>
      </c>
      <c r="B25" s="1">
        <v>24010601032</v>
      </c>
      <c r="C25" s="1" t="s">
        <v>24</v>
      </c>
      <c r="D25" s="11">
        <v>7</v>
      </c>
      <c r="E25" s="11"/>
      <c r="F25" s="11">
        <f t="shared" si="0"/>
        <v>7</v>
      </c>
      <c r="G25" s="11">
        <f t="shared" si="1"/>
        <v>3.5</v>
      </c>
      <c r="H25" s="1"/>
      <c r="I25" s="1"/>
    </row>
    <row r="26" spans="1:9" x14ac:dyDescent="0.3">
      <c r="A26" s="1">
        <f t="shared" si="2"/>
        <v>23</v>
      </c>
      <c r="B26" s="1">
        <v>24010601033</v>
      </c>
      <c r="C26" s="1" t="s">
        <v>25</v>
      </c>
      <c r="D26" s="11">
        <v>6.5</v>
      </c>
      <c r="E26" s="11"/>
      <c r="F26" s="11">
        <f t="shared" si="0"/>
        <v>6.5</v>
      </c>
      <c r="G26" s="11">
        <f t="shared" si="1"/>
        <v>3.25</v>
      </c>
      <c r="H26" s="1"/>
      <c r="I26" s="1"/>
    </row>
    <row r="27" spans="1:9" x14ac:dyDescent="0.3">
      <c r="A27" s="1">
        <f t="shared" si="2"/>
        <v>24</v>
      </c>
      <c r="B27" s="1">
        <v>23010601015</v>
      </c>
      <c r="C27" s="1" t="s">
        <v>26</v>
      </c>
      <c r="D27" s="11">
        <v>7</v>
      </c>
      <c r="E27" s="11"/>
      <c r="F27" s="11">
        <f t="shared" si="0"/>
        <v>7</v>
      </c>
      <c r="G27" s="11">
        <f t="shared" si="1"/>
        <v>3.5</v>
      </c>
      <c r="H27" s="1"/>
      <c r="I27" s="1"/>
    </row>
    <row r="28" spans="1:9" x14ac:dyDescent="0.3">
      <c r="A28" s="1">
        <f t="shared" si="2"/>
        <v>25</v>
      </c>
      <c r="B28" s="1">
        <v>23010601024</v>
      </c>
      <c r="C28" s="1" t="s">
        <v>27</v>
      </c>
      <c r="D28" s="11">
        <v>6.5</v>
      </c>
      <c r="E28" s="11"/>
      <c r="F28" s="11">
        <f t="shared" si="0"/>
        <v>6.5</v>
      </c>
      <c r="G28" s="11">
        <f t="shared" si="1"/>
        <v>3.25</v>
      </c>
      <c r="H28" s="1"/>
      <c r="I28" s="1"/>
    </row>
    <row r="29" spans="1:9" x14ac:dyDescent="0.3">
      <c r="A29" s="1">
        <f t="shared" si="2"/>
        <v>26</v>
      </c>
      <c r="B29" s="1" t="s">
        <v>28</v>
      </c>
      <c r="C29" s="1" t="s">
        <v>29</v>
      </c>
      <c r="D29" s="11">
        <v>7</v>
      </c>
      <c r="E29" s="11"/>
      <c r="F29" s="11">
        <f t="shared" si="0"/>
        <v>7</v>
      </c>
      <c r="G29" s="11">
        <f t="shared" si="1"/>
        <v>3.5</v>
      </c>
      <c r="H29" s="1"/>
      <c r="I29" s="1"/>
    </row>
    <row r="30" spans="1:9" x14ac:dyDescent="0.3">
      <c r="A30" s="1">
        <f t="shared" si="2"/>
        <v>27</v>
      </c>
      <c r="B30" s="1" t="s">
        <v>30</v>
      </c>
      <c r="C30" s="1" t="s">
        <v>31</v>
      </c>
      <c r="D30" s="11">
        <v>6.5</v>
      </c>
      <c r="E30" s="11"/>
      <c r="F30" s="11">
        <f t="shared" si="0"/>
        <v>6.5</v>
      </c>
      <c r="G30" s="11">
        <f t="shared" si="1"/>
        <v>3.25</v>
      </c>
      <c r="H30" s="1"/>
      <c r="I30" s="1"/>
    </row>
  </sheetData>
  <autoFilter ref="A3:C3" xr:uid="{00000000-0009-0000-0000-000000000000}"/>
  <mergeCells count="4">
    <mergeCell ref="A1:B1"/>
    <mergeCell ref="F1:G2"/>
    <mergeCell ref="H1:H3"/>
    <mergeCell ref="I1:I3"/>
  </mergeCells>
  <pageMargins left="0.25" right="0.25" top="0.75" bottom="0.75" header="0.3" footer="0.3"/>
  <pageSetup paperSize="9" scale="7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22AA1-1238-4182-94CD-C069820F6E76}">
  <sheetPr>
    <pageSetUpPr fitToPage="1"/>
  </sheetPr>
  <dimension ref="A1:D30"/>
  <sheetViews>
    <sheetView zoomScale="99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C3" sqref="C3"/>
    </sheetView>
  </sheetViews>
  <sheetFormatPr defaultRowHeight="19.2" x14ac:dyDescent="0.3"/>
  <cols>
    <col min="1" max="1" width="8.109375" style="8" bestFit="1" customWidth="1"/>
    <col min="2" max="2" width="18.109375" style="8" bestFit="1" customWidth="1"/>
    <col min="3" max="3" width="34.6640625" style="8" bestFit="1" customWidth="1"/>
    <col min="4" max="4" width="29.44140625" style="8" customWidth="1"/>
    <col min="5" max="16384" width="8.88671875" style="8"/>
  </cols>
  <sheetData>
    <row r="1" spans="1:4" x14ac:dyDescent="0.3">
      <c r="A1" s="25" t="s">
        <v>41</v>
      </c>
      <c r="B1" s="25"/>
      <c r="C1" s="4" t="s">
        <v>34</v>
      </c>
      <c r="D1" s="9"/>
    </row>
    <row r="2" spans="1:4" x14ac:dyDescent="0.3">
      <c r="A2" s="4" t="s">
        <v>32</v>
      </c>
      <c r="B2" s="4">
        <f>COUNT(A4:A30)</f>
        <v>27</v>
      </c>
      <c r="C2" s="4" t="s">
        <v>50</v>
      </c>
      <c r="D2" s="9" t="s">
        <v>46</v>
      </c>
    </row>
    <row r="3" spans="1:4" s="14" customFormat="1" x14ac:dyDescent="0.3">
      <c r="A3" s="2" t="s">
        <v>0</v>
      </c>
      <c r="B3" s="2" t="s">
        <v>1</v>
      </c>
      <c r="C3" s="2" t="s">
        <v>2</v>
      </c>
      <c r="D3" s="19">
        <v>15</v>
      </c>
    </row>
    <row r="4" spans="1:4" x14ac:dyDescent="0.3">
      <c r="A4" s="1">
        <v>1</v>
      </c>
      <c r="B4" s="1">
        <v>24010601001</v>
      </c>
      <c r="C4" s="1" t="s">
        <v>3</v>
      </c>
      <c r="D4" s="23"/>
    </row>
    <row r="5" spans="1:4" x14ac:dyDescent="0.3">
      <c r="A5" s="1">
        <f>A4+1</f>
        <v>2</v>
      </c>
      <c r="B5" s="1">
        <v>24010601003</v>
      </c>
      <c r="C5" s="1" t="s">
        <v>4</v>
      </c>
      <c r="D5" s="23"/>
    </row>
    <row r="6" spans="1:4" x14ac:dyDescent="0.3">
      <c r="A6" s="1">
        <f t="shared" ref="A6:A30" si="0">A5+1</f>
        <v>3</v>
      </c>
      <c r="B6" s="1">
        <v>24010601004</v>
      </c>
      <c r="C6" s="1" t="s">
        <v>5</v>
      </c>
      <c r="D6" s="23"/>
    </row>
    <row r="7" spans="1:4" x14ac:dyDescent="0.3">
      <c r="A7" s="1">
        <f t="shared" si="0"/>
        <v>4</v>
      </c>
      <c r="B7" s="1">
        <v>24010601005</v>
      </c>
      <c r="C7" s="1" t="s">
        <v>6</v>
      </c>
      <c r="D7" s="23"/>
    </row>
    <row r="8" spans="1:4" x14ac:dyDescent="0.3">
      <c r="A8" s="1">
        <f t="shared" si="0"/>
        <v>5</v>
      </c>
      <c r="B8" s="1">
        <v>24010601006</v>
      </c>
      <c r="C8" s="1" t="s">
        <v>7</v>
      </c>
      <c r="D8" s="23"/>
    </row>
    <row r="9" spans="1:4" x14ac:dyDescent="0.3">
      <c r="A9" s="1">
        <f t="shared" si="0"/>
        <v>6</v>
      </c>
      <c r="B9" s="1">
        <v>24010601009</v>
      </c>
      <c r="C9" s="1" t="s">
        <v>8</v>
      </c>
      <c r="D9" s="23"/>
    </row>
    <row r="10" spans="1:4" x14ac:dyDescent="0.3">
      <c r="A10" s="21">
        <f t="shared" si="0"/>
        <v>7</v>
      </c>
      <c r="B10" s="1">
        <v>24010601011</v>
      </c>
      <c r="C10" s="1" t="s">
        <v>9</v>
      </c>
      <c r="D10" s="23"/>
    </row>
    <row r="11" spans="1:4" x14ac:dyDescent="0.3">
      <c r="A11" s="21">
        <f t="shared" si="0"/>
        <v>8</v>
      </c>
      <c r="B11" s="1">
        <v>24010601014</v>
      </c>
      <c r="C11" s="1" t="s">
        <v>10</v>
      </c>
      <c r="D11" s="23"/>
    </row>
    <row r="12" spans="1:4" x14ac:dyDescent="0.3">
      <c r="A12" s="22">
        <f t="shared" si="0"/>
        <v>9</v>
      </c>
      <c r="B12" s="1">
        <v>24010601015</v>
      </c>
      <c r="C12" s="1" t="s">
        <v>11</v>
      </c>
      <c r="D12" s="23"/>
    </row>
    <row r="13" spans="1:4" x14ac:dyDescent="0.3">
      <c r="A13" s="1">
        <f t="shared" si="0"/>
        <v>10</v>
      </c>
      <c r="B13" s="1">
        <v>24010601017</v>
      </c>
      <c r="C13" s="1" t="s">
        <v>12</v>
      </c>
      <c r="D13" s="23"/>
    </row>
    <row r="14" spans="1:4" x14ac:dyDescent="0.3">
      <c r="A14" s="1">
        <f t="shared" si="0"/>
        <v>11</v>
      </c>
      <c r="B14" s="1">
        <v>24010601018</v>
      </c>
      <c r="C14" s="1" t="s">
        <v>13</v>
      </c>
      <c r="D14" s="23"/>
    </row>
    <row r="15" spans="1:4" x14ac:dyDescent="0.3">
      <c r="A15" s="1">
        <f t="shared" si="0"/>
        <v>12</v>
      </c>
      <c r="B15" s="1">
        <v>24010601019</v>
      </c>
      <c r="C15" s="1" t="s">
        <v>14</v>
      </c>
      <c r="D15" s="23"/>
    </row>
    <row r="16" spans="1:4" x14ac:dyDescent="0.3">
      <c r="A16" s="1">
        <f t="shared" si="0"/>
        <v>13</v>
      </c>
      <c r="B16" s="1">
        <v>24010601022</v>
      </c>
      <c r="C16" s="1" t="s">
        <v>15</v>
      </c>
      <c r="D16" s="23"/>
    </row>
    <row r="17" spans="1:4" x14ac:dyDescent="0.3">
      <c r="A17" s="1">
        <f t="shared" si="0"/>
        <v>14</v>
      </c>
      <c r="B17" s="1">
        <v>24010601023</v>
      </c>
      <c r="C17" s="1" t="s">
        <v>16</v>
      </c>
      <c r="D17" s="23"/>
    </row>
    <row r="18" spans="1:4" x14ac:dyDescent="0.3">
      <c r="A18" s="1">
        <f t="shared" si="0"/>
        <v>15</v>
      </c>
      <c r="B18" s="1">
        <v>24010601024</v>
      </c>
      <c r="C18" s="1" t="s">
        <v>17</v>
      </c>
      <c r="D18" s="23"/>
    </row>
    <row r="19" spans="1:4" x14ac:dyDescent="0.3">
      <c r="A19" s="1">
        <f t="shared" si="0"/>
        <v>16</v>
      </c>
      <c r="B19" s="1">
        <v>24010601025</v>
      </c>
      <c r="C19" s="1" t="s">
        <v>18</v>
      </c>
      <c r="D19" s="23"/>
    </row>
    <row r="20" spans="1:4" x14ac:dyDescent="0.3">
      <c r="A20" s="1">
        <f t="shared" si="0"/>
        <v>17</v>
      </c>
      <c r="B20" s="1">
        <v>24010601026</v>
      </c>
      <c r="C20" s="1" t="s">
        <v>19</v>
      </c>
      <c r="D20" s="23"/>
    </row>
    <row r="21" spans="1:4" x14ac:dyDescent="0.3">
      <c r="A21" s="1">
        <f t="shared" si="0"/>
        <v>18</v>
      </c>
      <c r="B21" s="1">
        <v>24010601027</v>
      </c>
      <c r="C21" s="1" t="s">
        <v>20</v>
      </c>
      <c r="D21" s="23"/>
    </row>
    <row r="22" spans="1:4" x14ac:dyDescent="0.3">
      <c r="A22" s="1">
        <f t="shared" si="0"/>
        <v>19</v>
      </c>
      <c r="B22" s="1">
        <v>24010601028</v>
      </c>
      <c r="C22" s="1" t="s">
        <v>21</v>
      </c>
      <c r="D22" s="23"/>
    </row>
    <row r="23" spans="1:4" x14ac:dyDescent="0.3">
      <c r="A23" s="1">
        <f t="shared" si="0"/>
        <v>20</v>
      </c>
      <c r="B23" s="1">
        <v>24010601029</v>
      </c>
      <c r="C23" s="1" t="s">
        <v>22</v>
      </c>
      <c r="D23" s="23"/>
    </row>
    <row r="24" spans="1:4" x14ac:dyDescent="0.3">
      <c r="A24" s="1">
        <f t="shared" si="0"/>
        <v>21</v>
      </c>
      <c r="B24" s="1">
        <v>24010601031</v>
      </c>
      <c r="C24" s="1" t="s">
        <v>23</v>
      </c>
      <c r="D24" s="23"/>
    </row>
    <row r="25" spans="1:4" x14ac:dyDescent="0.3">
      <c r="A25" s="1">
        <f t="shared" si="0"/>
        <v>22</v>
      </c>
      <c r="B25" s="1">
        <v>24010601032</v>
      </c>
      <c r="C25" s="1" t="s">
        <v>24</v>
      </c>
      <c r="D25" s="23"/>
    </row>
    <row r="26" spans="1:4" x14ac:dyDescent="0.3">
      <c r="A26" s="1">
        <f t="shared" si="0"/>
        <v>23</v>
      </c>
      <c r="B26" s="1">
        <v>24010601033</v>
      </c>
      <c r="C26" s="1" t="s">
        <v>25</v>
      </c>
      <c r="D26" s="23"/>
    </row>
    <row r="27" spans="1:4" x14ac:dyDescent="0.3">
      <c r="A27" s="1">
        <f t="shared" si="0"/>
        <v>24</v>
      </c>
      <c r="B27" s="1">
        <v>23010601015</v>
      </c>
      <c r="C27" s="1" t="s">
        <v>26</v>
      </c>
      <c r="D27" s="23"/>
    </row>
    <row r="28" spans="1:4" x14ac:dyDescent="0.3">
      <c r="A28" s="1">
        <f t="shared" si="0"/>
        <v>25</v>
      </c>
      <c r="B28" s="1">
        <v>23010601024</v>
      </c>
      <c r="C28" s="1" t="s">
        <v>27</v>
      </c>
      <c r="D28" s="23"/>
    </row>
    <row r="29" spans="1:4" x14ac:dyDescent="0.3">
      <c r="A29" s="1">
        <f t="shared" si="0"/>
        <v>26</v>
      </c>
      <c r="B29" s="1" t="s">
        <v>28</v>
      </c>
      <c r="C29" s="1" t="s">
        <v>29</v>
      </c>
      <c r="D29" s="23"/>
    </row>
    <row r="30" spans="1:4" x14ac:dyDescent="0.3">
      <c r="A30" s="1">
        <f t="shared" si="0"/>
        <v>27</v>
      </c>
      <c r="B30" s="1" t="s">
        <v>30</v>
      </c>
      <c r="C30" s="1" t="s">
        <v>31</v>
      </c>
      <c r="D30" s="23"/>
    </row>
  </sheetData>
  <autoFilter ref="A3:C3" xr:uid="{00000000-0009-0000-0000-000000000000}"/>
  <mergeCells count="1">
    <mergeCell ref="A1:B1"/>
  </mergeCells>
  <pageMargins left="0.25" right="0.25" top="0.75" bottom="0.75" header="0.3" footer="0.3"/>
  <pageSetup paperSize="9" scale="7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A8062-E81D-43C7-AF34-EABD63AE6D55}">
  <sheetPr>
    <pageSetUpPr fitToPage="1"/>
  </sheetPr>
  <dimension ref="A1:G30"/>
  <sheetViews>
    <sheetView zoomScale="99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K8" sqref="K8"/>
    </sheetView>
  </sheetViews>
  <sheetFormatPr defaultRowHeight="19.2" x14ac:dyDescent="0.3"/>
  <cols>
    <col min="1" max="1" width="8.21875" style="8" bestFit="1" customWidth="1"/>
    <col min="2" max="2" width="18.33203125" style="8" bestFit="1" customWidth="1"/>
    <col min="3" max="3" width="35" style="8" bestFit="1" customWidth="1"/>
    <col min="4" max="4" width="18.109375" style="8" bestFit="1" customWidth="1"/>
    <col min="5" max="5" width="18.21875" style="8" bestFit="1" customWidth="1"/>
    <col min="6" max="6" width="16.33203125" style="8" bestFit="1" customWidth="1"/>
    <col min="7" max="7" width="11.109375" style="8" bestFit="1" customWidth="1"/>
    <col min="8" max="16384" width="8.88671875" style="8"/>
  </cols>
  <sheetData>
    <row r="1" spans="1:7" x14ac:dyDescent="0.3">
      <c r="A1" s="25" t="s">
        <v>41</v>
      </c>
      <c r="B1" s="25"/>
      <c r="C1" s="4" t="s">
        <v>34</v>
      </c>
      <c r="D1" s="28">
        <v>7.5</v>
      </c>
      <c r="E1" s="28">
        <v>7.5</v>
      </c>
      <c r="F1" s="28">
        <v>15</v>
      </c>
      <c r="G1" s="30">
        <v>30</v>
      </c>
    </row>
    <row r="2" spans="1:7" x14ac:dyDescent="0.3">
      <c r="A2" s="4" t="s">
        <v>32</v>
      </c>
      <c r="B2" s="4">
        <f>COUNT(A4:A30)</f>
        <v>27</v>
      </c>
      <c r="C2" s="4" t="s">
        <v>49</v>
      </c>
      <c r="D2" s="29"/>
      <c r="E2" s="29"/>
      <c r="F2" s="29"/>
      <c r="G2" s="31"/>
    </row>
    <row r="3" spans="1:7" s="14" customFormat="1" x14ac:dyDescent="0.3">
      <c r="A3" s="2" t="s">
        <v>0</v>
      </c>
      <c r="B3" s="2" t="s">
        <v>1</v>
      </c>
      <c r="C3" s="2" t="s">
        <v>2</v>
      </c>
      <c r="D3" s="9" t="s">
        <v>47</v>
      </c>
      <c r="E3" s="9" t="s">
        <v>48</v>
      </c>
      <c r="F3" s="9" t="s">
        <v>46</v>
      </c>
      <c r="G3" s="9" t="s">
        <v>37</v>
      </c>
    </row>
    <row r="4" spans="1:7" x14ac:dyDescent="0.3">
      <c r="A4" s="1">
        <v>1</v>
      </c>
      <c r="B4" s="1">
        <v>24010601001</v>
      </c>
      <c r="C4" s="1" t="s">
        <v>3</v>
      </c>
      <c r="D4" s="23">
        <f>_xlfn.XLOOKUP(B4,'TFD 3-1 Attendance'!$B$4:$B$30,'TFD 3-1 Attendance'!$E$4:$E$30)</f>
        <v>7.5</v>
      </c>
      <c r="E4" s="11">
        <f>_xlfn.XLOOKUP(B4,Assignment!$B$4:$B$30,Assignment!$G$4:$G$30)</f>
        <v>3.5</v>
      </c>
      <c r="F4" s="11">
        <f>_xlfn.XLOOKUP(B4,'Class Test'!$B$4:$B$30,'Class Test'!$D$4:$D$30)</f>
        <v>0</v>
      </c>
      <c r="G4" s="20">
        <f>CEILING(SUM(D4:F4),0.5)</f>
        <v>11</v>
      </c>
    </row>
    <row r="5" spans="1:7" x14ac:dyDescent="0.3">
      <c r="A5" s="1">
        <f>A4+1</f>
        <v>2</v>
      </c>
      <c r="B5" s="1">
        <v>24010601003</v>
      </c>
      <c r="C5" s="1" t="s">
        <v>4</v>
      </c>
      <c r="D5" s="23">
        <f>_xlfn.XLOOKUP(B5,'TFD 3-1 Attendance'!$B$4:$B$30,'TFD 3-1 Attendance'!$E$4:$E$30)</f>
        <v>7.5</v>
      </c>
      <c r="E5" s="11">
        <f>_xlfn.XLOOKUP(B5,Assignment!$B$4:$B$30,Assignment!$G$4:$G$30)</f>
        <v>3.5</v>
      </c>
      <c r="F5" s="11">
        <f>_xlfn.XLOOKUP(B5,'Class Test'!$B$4:$B$30,'Class Test'!$D$4:$D$30)</f>
        <v>0</v>
      </c>
      <c r="G5" s="20">
        <f t="shared" ref="G5:G30" si="0">CEILING(SUM(D5:F5),0.5)</f>
        <v>11</v>
      </c>
    </row>
    <row r="6" spans="1:7" x14ac:dyDescent="0.3">
      <c r="A6" s="1">
        <f t="shared" ref="A6:A30" si="1">A5+1</f>
        <v>3</v>
      </c>
      <c r="B6" s="1">
        <v>24010601004</v>
      </c>
      <c r="C6" s="1" t="s">
        <v>5</v>
      </c>
      <c r="D6" s="23">
        <f>_xlfn.XLOOKUP(B6,'TFD 3-1 Attendance'!$B$4:$B$30,'TFD 3-1 Attendance'!$E$4:$E$30)</f>
        <v>7.5</v>
      </c>
      <c r="E6" s="11">
        <f>_xlfn.XLOOKUP(B6,Assignment!$B$4:$B$30,Assignment!$G$4:$G$30)</f>
        <v>3</v>
      </c>
      <c r="F6" s="11">
        <f>_xlfn.XLOOKUP(B6,'Class Test'!$B$4:$B$30,'Class Test'!$D$4:$D$30)</f>
        <v>0</v>
      </c>
      <c r="G6" s="20">
        <f t="shared" si="0"/>
        <v>10.5</v>
      </c>
    </row>
    <row r="7" spans="1:7" x14ac:dyDescent="0.3">
      <c r="A7" s="1">
        <f t="shared" si="1"/>
        <v>4</v>
      </c>
      <c r="B7" s="1">
        <v>24010601005</v>
      </c>
      <c r="C7" s="1" t="s">
        <v>6</v>
      </c>
      <c r="D7" s="23">
        <f>_xlfn.XLOOKUP(B7,'TFD 3-1 Attendance'!$B$4:$B$30,'TFD 3-1 Attendance'!$E$4:$E$30)</f>
        <v>6</v>
      </c>
      <c r="E7" s="11">
        <f>_xlfn.XLOOKUP(B7,Assignment!$B$4:$B$30,Assignment!$G$4:$G$30)</f>
        <v>3.25</v>
      </c>
      <c r="F7" s="11">
        <f>_xlfn.XLOOKUP(B7,'Class Test'!$B$4:$B$30,'Class Test'!$D$4:$D$30)</f>
        <v>0</v>
      </c>
      <c r="G7" s="20">
        <f t="shared" si="0"/>
        <v>9.5</v>
      </c>
    </row>
    <row r="8" spans="1:7" x14ac:dyDescent="0.3">
      <c r="A8" s="1">
        <f t="shared" si="1"/>
        <v>5</v>
      </c>
      <c r="B8" s="1">
        <v>24010601006</v>
      </c>
      <c r="C8" s="1" t="s">
        <v>7</v>
      </c>
      <c r="D8" s="23">
        <f>_xlfn.XLOOKUP(B8,'TFD 3-1 Attendance'!$B$4:$B$30,'TFD 3-1 Attendance'!$E$4:$E$30)</f>
        <v>6</v>
      </c>
      <c r="E8" s="11">
        <f>_xlfn.XLOOKUP(B8,Assignment!$B$4:$B$30,Assignment!$G$4:$G$30)</f>
        <v>3.25</v>
      </c>
      <c r="F8" s="11">
        <f>_xlfn.XLOOKUP(B8,'Class Test'!$B$4:$B$30,'Class Test'!$D$4:$D$30)</f>
        <v>0</v>
      </c>
      <c r="G8" s="20">
        <f t="shared" si="0"/>
        <v>9.5</v>
      </c>
    </row>
    <row r="9" spans="1:7" x14ac:dyDescent="0.3">
      <c r="A9" s="1">
        <f t="shared" si="1"/>
        <v>6</v>
      </c>
      <c r="B9" s="1">
        <v>24010601009</v>
      </c>
      <c r="C9" s="1" t="s">
        <v>8</v>
      </c>
      <c r="D9" s="23">
        <f>_xlfn.XLOOKUP(B9,'TFD 3-1 Attendance'!$B$4:$B$30,'TFD 3-1 Attendance'!$E$4:$E$30)</f>
        <v>7.5</v>
      </c>
      <c r="E9" s="11">
        <f>_xlfn.XLOOKUP(B9,Assignment!$B$4:$B$30,Assignment!$G$4:$G$30)</f>
        <v>3.25</v>
      </c>
      <c r="F9" s="11">
        <f>_xlfn.XLOOKUP(B9,'Class Test'!$B$4:$B$30,'Class Test'!$D$4:$D$30)</f>
        <v>0</v>
      </c>
      <c r="G9" s="20">
        <f t="shared" si="0"/>
        <v>11</v>
      </c>
    </row>
    <row r="10" spans="1:7" x14ac:dyDescent="0.3">
      <c r="A10" s="21">
        <f t="shared" si="1"/>
        <v>7</v>
      </c>
      <c r="B10" s="1">
        <v>24010601011</v>
      </c>
      <c r="C10" s="1" t="s">
        <v>9</v>
      </c>
      <c r="D10" s="23">
        <f>_xlfn.XLOOKUP(B10,'TFD 3-1 Attendance'!$B$4:$B$30,'TFD 3-1 Attendance'!$E$4:$E$30)</f>
        <v>0</v>
      </c>
      <c r="E10" s="11">
        <f>_xlfn.XLOOKUP(B10,Assignment!$B$4:$B$30,Assignment!$G$4:$G$30)</f>
        <v>3</v>
      </c>
      <c r="F10" s="11">
        <f>_xlfn.XLOOKUP(B10,'Class Test'!$B$4:$B$30,'Class Test'!$D$4:$D$30)</f>
        <v>0</v>
      </c>
      <c r="G10" s="20">
        <f t="shared" si="0"/>
        <v>3</v>
      </c>
    </row>
    <row r="11" spans="1:7" x14ac:dyDescent="0.3">
      <c r="A11" s="21">
        <f t="shared" si="1"/>
        <v>8</v>
      </c>
      <c r="B11" s="1">
        <v>24010601014</v>
      </c>
      <c r="C11" s="1" t="s">
        <v>10</v>
      </c>
      <c r="D11" s="23">
        <f>_xlfn.XLOOKUP(B11,'TFD 3-1 Attendance'!$B$4:$B$30,'TFD 3-1 Attendance'!$E$4:$E$30)</f>
        <v>7.5</v>
      </c>
      <c r="E11" s="11">
        <f>_xlfn.XLOOKUP(B11,Assignment!$B$4:$B$30,Assignment!$G$4:$G$30)</f>
        <v>3.25</v>
      </c>
      <c r="F11" s="11">
        <f>_xlfn.XLOOKUP(B11,'Class Test'!$B$4:$B$30,'Class Test'!$D$4:$D$30)</f>
        <v>0</v>
      </c>
      <c r="G11" s="20">
        <f t="shared" si="0"/>
        <v>11</v>
      </c>
    </row>
    <row r="12" spans="1:7" x14ac:dyDescent="0.3">
      <c r="A12" s="22">
        <f t="shared" si="1"/>
        <v>9</v>
      </c>
      <c r="B12" s="1">
        <v>24010601015</v>
      </c>
      <c r="C12" s="1" t="s">
        <v>11</v>
      </c>
      <c r="D12" s="23">
        <f>_xlfn.XLOOKUP(B12,'TFD 3-1 Attendance'!$B$4:$B$30,'TFD 3-1 Attendance'!$E$4:$E$30)</f>
        <v>7.5</v>
      </c>
      <c r="E12" s="11">
        <f>_xlfn.XLOOKUP(B12,Assignment!$B$4:$B$30,Assignment!$G$4:$G$30)</f>
        <v>3.5</v>
      </c>
      <c r="F12" s="11">
        <f>_xlfn.XLOOKUP(B12,'Class Test'!$B$4:$B$30,'Class Test'!$D$4:$D$30)</f>
        <v>0</v>
      </c>
      <c r="G12" s="20">
        <f t="shared" si="0"/>
        <v>11</v>
      </c>
    </row>
    <row r="13" spans="1:7" x14ac:dyDescent="0.3">
      <c r="A13" s="1">
        <f t="shared" si="1"/>
        <v>10</v>
      </c>
      <c r="B13" s="1">
        <v>24010601017</v>
      </c>
      <c r="C13" s="1" t="s">
        <v>12</v>
      </c>
      <c r="D13" s="23">
        <f>_xlfn.XLOOKUP(B13,'TFD 3-1 Attendance'!$B$4:$B$30,'TFD 3-1 Attendance'!$E$4:$E$30)</f>
        <v>4.5</v>
      </c>
      <c r="E13" s="11">
        <f>_xlfn.XLOOKUP(B13,Assignment!$B$4:$B$30,Assignment!$G$4:$G$30)</f>
        <v>3.5</v>
      </c>
      <c r="F13" s="11">
        <f>_xlfn.XLOOKUP(B13,'Class Test'!$B$4:$B$30,'Class Test'!$D$4:$D$30)</f>
        <v>0</v>
      </c>
      <c r="G13" s="20">
        <f t="shared" si="0"/>
        <v>8</v>
      </c>
    </row>
    <row r="14" spans="1:7" x14ac:dyDescent="0.3">
      <c r="A14" s="1">
        <f t="shared" si="1"/>
        <v>11</v>
      </c>
      <c r="B14" s="1">
        <v>24010601018</v>
      </c>
      <c r="C14" s="1" t="s">
        <v>13</v>
      </c>
      <c r="D14" s="23">
        <f>_xlfn.XLOOKUP(B14,'TFD 3-1 Attendance'!$B$4:$B$30,'TFD 3-1 Attendance'!$E$4:$E$30)</f>
        <v>7.5</v>
      </c>
      <c r="E14" s="11">
        <f>_xlfn.XLOOKUP(B14,Assignment!$B$4:$B$30,Assignment!$G$4:$G$30)</f>
        <v>3.5</v>
      </c>
      <c r="F14" s="11">
        <f>_xlfn.XLOOKUP(B14,'Class Test'!$B$4:$B$30,'Class Test'!$D$4:$D$30)</f>
        <v>0</v>
      </c>
      <c r="G14" s="20">
        <f t="shared" si="0"/>
        <v>11</v>
      </c>
    </row>
    <row r="15" spans="1:7" x14ac:dyDescent="0.3">
      <c r="A15" s="1">
        <f t="shared" si="1"/>
        <v>12</v>
      </c>
      <c r="B15" s="1">
        <v>24010601019</v>
      </c>
      <c r="C15" s="1" t="s">
        <v>14</v>
      </c>
      <c r="D15" s="23">
        <f>_xlfn.XLOOKUP(B15,'TFD 3-1 Attendance'!$B$4:$B$30,'TFD 3-1 Attendance'!$E$4:$E$30)</f>
        <v>6</v>
      </c>
      <c r="E15" s="11">
        <f>_xlfn.XLOOKUP(B15,Assignment!$B$4:$B$30,Assignment!$G$4:$G$30)</f>
        <v>3</v>
      </c>
      <c r="F15" s="11">
        <f>_xlfn.XLOOKUP(B15,'Class Test'!$B$4:$B$30,'Class Test'!$D$4:$D$30)</f>
        <v>0</v>
      </c>
      <c r="G15" s="20">
        <f t="shared" si="0"/>
        <v>9</v>
      </c>
    </row>
    <row r="16" spans="1:7" x14ac:dyDescent="0.3">
      <c r="A16" s="1">
        <f t="shared" si="1"/>
        <v>13</v>
      </c>
      <c r="B16" s="1">
        <v>24010601022</v>
      </c>
      <c r="C16" s="1" t="s">
        <v>15</v>
      </c>
      <c r="D16" s="23">
        <f>_xlfn.XLOOKUP(B16,'TFD 3-1 Attendance'!$B$4:$B$30,'TFD 3-1 Attendance'!$E$4:$E$30)</f>
        <v>6</v>
      </c>
      <c r="E16" s="11">
        <f>_xlfn.XLOOKUP(B16,Assignment!$B$4:$B$30,Assignment!$G$4:$G$30)</f>
        <v>2.5</v>
      </c>
      <c r="F16" s="11">
        <f>_xlfn.XLOOKUP(B16,'Class Test'!$B$4:$B$30,'Class Test'!$D$4:$D$30)</f>
        <v>0</v>
      </c>
      <c r="G16" s="20">
        <f t="shared" si="0"/>
        <v>8.5</v>
      </c>
    </row>
    <row r="17" spans="1:7" x14ac:dyDescent="0.3">
      <c r="A17" s="1">
        <f t="shared" si="1"/>
        <v>14</v>
      </c>
      <c r="B17" s="1">
        <v>24010601023</v>
      </c>
      <c r="C17" s="1" t="s">
        <v>16</v>
      </c>
      <c r="D17" s="23">
        <f>_xlfn.XLOOKUP(B17,'TFD 3-1 Attendance'!$B$4:$B$30,'TFD 3-1 Attendance'!$E$4:$E$30)</f>
        <v>4.5</v>
      </c>
      <c r="E17" s="11">
        <f>_xlfn.XLOOKUP(B17,Assignment!$B$4:$B$30,Assignment!$G$4:$G$30)</f>
        <v>3.5</v>
      </c>
      <c r="F17" s="11">
        <f>_xlfn.XLOOKUP(B17,'Class Test'!$B$4:$B$30,'Class Test'!$D$4:$D$30)</f>
        <v>0</v>
      </c>
      <c r="G17" s="20">
        <f t="shared" si="0"/>
        <v>8</v>
      </c>
    </row>
    <row r="18" spans="1:7" x14ac:dyDescent="0.3">
      <c r="A18" s="1">
        <f t="shared" si="1"/>
        <v>15</v>
      </c>
      <c r="B18" s="1">
        <v>24010601024</v>
      </c>
      <c r="C18" s="1" t="s">
        <v>17</v>
      </c>
      <c r="D18" s="23">
        <f>_xlfn.XLOOKUP(B18,'TFD 3-1 Attendance'!$B$4:$B$30,'TFD 3-1 Attendance'!$E$4:$E$30)</f>
        <v>6</v>
      </c>
      <c r="E18" s="11">
        <f>_xlfn.XLOOKUP(B18,Assignment!$B$4:$B$30,Assignment!$G$4:$G$30)</f>
        <v>3.25</v>
      </c>
      <c r="F18" s="11">
        <f>_xlfn.XLOOKUP(B18,'Class Test'!$B$4:$B$30,'Class Test'!$D$4:$D$30)</f>
        <v>0</v>
      </c>
      <c r="G18" s="20">
        <f t="shared" si="0"/>
        <v>9.5</v>
      </c>
    </row>
    <row r="19" spans="1:7" x14ac:dyDescent="0.3">
      <c r="A19" s="1">
        <f t="shared" si="1"/>
        <v>16</v>
      </c>
      <c r="B19" s="1">
        <v>24010601025</v>
      </c>
      <c r="C19" s="1" t="s">
        <v>18</v>
      </c>
      <c r="D19" s="23">
        <f>_xlfn.XLOOKUP(B19,'TFD 3-1 Attendance'!$B$4:$B$30,'TFD 3-1 Attendance'!$E$4:$E$30)</f>
        <v>3</v>
      </c>
      <c r="E19" s="11">
        <f>_xlfn.XLOOKUP(B19,Assignment!$B$4:$B$30,Assignment!$G$4:$G$30)</f>
        <v>3.25</v>
      </c>
      <c r="F19" s="11">
        <f>_xlfn.XLOOKUP(B19,'Class Test'!$B$4:$B$30,'Class Test'!$D$4:$D$30)</f>
        <v>0</v>
      </c>
      <c r="G19" s="20">
        <f t="shared" si="0"/>
        <v>6.5</v>
      </c>
    </row>
    <row r="20" spans="1:7" x14ac:dyDescent="0.3">
      <c r="A20" s="1">
        <f t="shared" si="1"/>
        <v>17</v>
      </c>
      <c r="B20" s="1">
        <v>24010601026</v>
      </c>
      <c r="C20" s="1" t="s">
        <v>19</v>
      </c>
      <c r="D20" s="23">
        <f>_xlfn.XLOOKUP(B20,'TFD 3-1 Attendance'!$B$4:$B$30,'TFD 3-1 Attendance'!$E$4:$E$30)</f>
        <v>7.5</v>
      </c>
      <c r="E20" s="11">
        <f>_xlfn.XLOOKUP(B20,Assignment!$B$4:$B$30,Assignment!$G$4:$G$30)</f>
        <v>3.25</v>
      </c>
      <c r="F20" s="11">
        <f>_xlfn.XLOOKUP(B20,'Class Test'!$B$4:$B$30,'Class Test'!$D$4:$D$30)</f>
        <v>0</v>
      </c>
      <c r="G20" s="20">
        <f t="shared" si="0"/>
        <v>11</v>
      </c>
    </row>
    <row r="21" spans="1:7" x14ac:dyDescent="0.3">
      <c r="A21" s="1">
        <f t="shared" si="1"/>
        <v>18</v>
      </c>
      <c r="B21" s="1">
        <v>24010601027</v>
      </c>
      <c r="C21" s="1" t="s">
        <v>20</v>
      </c>
      <c r="D21" s="23">
        <f>_xlfn.XLOOKUP(B21,'TFD 3-1 Attendance'!$B$4:$B$30,'TFD 3-1 Attendance'!$E$4:$E$30)</f>
        <v>7.5</v>
      </c>
      <c r="E21" s="11">
        <f>_xlfn.XLOOKUP(B21,Assignment!$B$4:$B$30,Assignment!$G$4:$G$30)</f>
        <v>3.5</v>
      </c>
      <c r="F21" s="11">
        <f>_xlfn.XLOOKUP(B21,'Class Test'!$B$4:$B$30,'Class Test'!$D$4:$D$30)</f>
        <v>0</v>
      </c>
      <c r="G21" s="20">
        <f t="shared" si="0"/>
        <v>11</v>
      </c>
    </row>
    <row r="22" spans="1:7" x14ac:dyDescent="0.3">
      <c r="A22" s="1">
        <f t="shared" si="1"/>
        <v>19</v>
      </c>
      <c r="B22" s="1">
        <v>24010601028</v>
      </c>
      <c r="C22" s="1" t="s">
        <v>21</v>
      </c>
      <c r="D22" s="23">
        <f>_xlfn.XLOOKUP(B22,'TFD 3-1 Attendance'!$B$4:$B$30,'TFD 3-1 Attendance'!$E$4:$E$30)</f>
        <v>6</v>
      </c>
      <c r="E22" s="11">
        <f>_xlfn.XLOOKUP(B22,Assignment!$B$4:$B$30,Assignment!$G$4:$G$30)</f>
        <v>2.5</v>
      </c>
      <c r="F22" s="11">
        <f>_xlfn.XLOOKUP(B22,'Class Test'!$B$4:$B$30,'Class Test'!$D$4:$D$30)</f>
        <v>0</v>
      </c>
      <c r="G22" s="20">
        <f t="shared" si="0"/>
        <v>8.5</v>
      </c>
    </row>
    <row r="23" spans="1:7" x14ac:dyDescent="0.3">
      <c r="A23" s="1">
        <f t="shared" si="1"/>
        <v>20</v>
      </c>
      <c r="B23" s="1">
        <v>24010601029</v>
      </c>
      <c r="C23" s="1" t="s">
        <v>22</v>
      </c>
      <c r="D23" s="23">
        <f>_xlfn.XLOOKUP(B23,'TFD 3-1 Attendance'!$B$4:$B$30,'TFD 3-1 Attendance'!$E$4:$E$30)</f>
        <v>7.5</v>
      </c>
      <c r="E23" s="11">
        <f>_xlfn.XLOOKUP(B23,Assignment!$B$4:$B$30,Assignment!$G$4:$G$30)</f>
        <v>3.5</v>
      </c>
      <c r="F23" s="11">
        <f>_xlfn.XLOOKUP(B23,'Class Test'!$B$4:$B$30,'Class Test'!$D$4:$D$30)</f>
        <v>0</v>
      </c>
      <c r="G23" s="20">
        <f t="shared" si="0"/>
        <v>11</v>
      </c>
    </row>
    <row r="24" spans="1:7" x14ac:dyDescent="0.3">
      <c r="A24" s="1">
        <f t="shared" si="1"/>
        <v>21</v>
      </c>
      <c r="B24" s="1">
        <v>24010601031</v>
      </c>
      <c r="C24" s="1" t="s">
        <v>23</v>
      </c>
      <c r="D24" s="23">
        <f>_xlfn.XLOOKUP(B24,'TFD 3-1 Attendance'!$B$4:$B$30,'TFD 3-1 Attendance'!$E$4:$E$30)</f>
        <v>6</v>
      </c>
      <c r="E24" s="11">
        <f>_xlfn.XLOOKUP(B24,Assignment!$B$4:$B$30,Assignment!$G$4:$G$30)</f>
        <v>3.5</v>
      </c>
      <c r="F24" s="11">
        <f>_xlfn.XLOOKUP(B24,'Class Test'!$B$4:$B$30,'Class Test'!$D$4:$D$30)</f>
        <v>0</v>
      </c>
      <c r="G24" s="20">
        <f t="shared" si="0"/>
        <v>9.5</v>
      </c>
    </row>
    <row r="25" spans="1:7" x14ac:dyDescent="0.3">
      <c r="A25" s="1">
        <f t="shared" si="1"/>
        <v>22</v>
      </c>
      <c r="B25" s="1">
        <v>24010601032</v>
      </c>
      <c r="C25" s="1" t="s">
        <v>24</v>
      </c>
      <c r="D25" s="23">
        <f>_xlfn.XLOOKUP(B25,'TFD 3-1 Attendance'!$B$4:$B$30,'TFD 3-1 Attendance'!$E$4:$E$30)</f>
        <v>4.5</v>
      </c>
      <c r="E25" s="11">
        <f>_xlfn.XLOOKUP(B25,Assignment!$B$4:$B$30,Assignment!$G$4:$G$30)</f>
        <v>3.5</v>
      </c>
      <c r="F25" s="11">
        <f>_xlfn.XLOOKUP(B25,'Class Test'!$B$4:$B$30,'Class Test'!$D$4:$D$30)</f>
        <v>0</v>
      </c>
      <c r="G25" s="20">
        <f t="shared" si="0"/>
        <v>8</v>
      </c>
    </row>
    <row r="26" spans="1:7" x14ac:dyDescent="0.3">
      <c r="A26" s="1">
        <f t="shared" si="1"/>
        <v>23</v>
      </c>
      <c r="B26" s="1">
        <v>24010601033</v>
      </c>
      <c r="C26" s="1" t="s">
        <v>25</v>
      </c>
      <c r="D26" s="23">
        <f>_xlfn.XLOOKUP(B26,'TFD 3-1 Attendance'!$B$4:$B$30,'TFD 3-1 Attendance'!$E$4:$E$30)</f>
        <v>7.5</v>
      </c>
      <c r="E26" s="11">
        <f>_xlfn.XLOOKUP(B26,Assignment!$B$4:$B$30,Assignment!$G$4:$G$30)</f>
        <v>3.25</v>
      </c>
      <c r="F26" s="11">
        <f>_xlfn.XLOOKUP(B26,'Class Test'!$B$4:$B$30,'Class Test'!$D$4:$D$30)</f>
        <v>0</v>
      </c>
      <c r="G26" s="20">
        <f t="shared" si="0"/>
        <v>11</v>
      </c>
    </row>
    <row r="27" spans="1:7" x14ac:dyDescent="0.3">
      <c r="A27" s="1">
        <f t="shared" si="1"/>
        <v>24</v>
      </c>
      <c r="B27" s="1">
        <v>23010601015</v>
      </c>
      <c r="C27" s="1" t="s">
        <v>26</v>
      </c>
      <c r="D27" s="23">
        <f>_xlfn.XLOOKUP(B27,'TFD 3-1 Attendance'!$B$4:$B$30,'TFD 3-1 Attendance'!$E$4:$E$30)</f>
        <v>6</v>
      </c>
      <c r="E27" s="11">
        <f>_xlfn.XLOOKUP(B27,Assignment!$B$4:$B$30,Assignment!$G$4:$G$30)</f>
        <v>3.5</v>
      </c>
      <c r="F27" s="11">
        <f>_xlfn.XLOOKUP(B27,'Class Test'!$B$4:$B$30,'Class Test'!$D$4:$D$30)</f>
        <v>0</v>
      </c>
      <c r="G27" s="20">
        <f t="shared" si="0"/>
        <v>9.5</v>
      </c>
    </row>
    <row r="28" spans="1:7" x14ac:dyDescent="0.3">
      <c r="A28" s="1">
        <f t="shared" si="1"/>
        <v>25</v>
      </c>
      <c r="B28" s="1">
        <v>23010601024</v>
      </c>
      <c r="C28" s="1" t="s">
        <v>27</v>
      </c>
      <c r="D28" s="23">
        <f>_xlfn.XLOOKUP(B28,'TFD 3-1 Attendance'!$B$4:$B$30,'TFD 3-1 Attendance'!$E$4:$E$30)</f>
        <v>4.5</v>
      </c>
      <c r="E28" s="11">
        <f>_xlfn.XLOOKUP(B28,Assignment!$B$4:$B$30,Assignment!$G$4:$G$30)</f>
        <v>3.25</v>
      </c>
      <c r="F28" s="11">
        <f>_xlfn.XLOOKUP(B28,'Class Test'!$B$4:$B$30,'Class Test'!$D$4:$D$30)</f>
        <v>0</v>
      </c>
      <c r="G28" s="20">
        <f t="shared" si="0"/>
        <v>8</v>
      </c>
    </row>
    <row r="29" spans="1:7" x14ac:dyDescent="0.3">
      <c r="A29" s="1">
        <f t="shared" si="1"/>
        <v>26</v>
      </c>
      <c r="B29" s="1" t="s">
        <v>28</v>
      </c>
      <c r="C29" s="1" t="s">
        <v>29</v>
      </c>
      <c r="D29" s="23">
        <f>_xlfn.XLOOKUP(B29,'TFD 3-1 Attendance'!$B$4:$B$30,'TFD 3-1 Attendance'!$E$4:$E$30)</f>
        <v>6</v>
      </c>
      <c r="E29" s="11">
        <f>_xlfn.XLOOKUP(B29,Assignment!$B$4:$B$30,Assignment!$G$4:$G$30)</f>
        <v>3.5</v>
      </c>
      <c r="F29" s="11">
        <f>_xlfn.XLOOKUP(B29,'Class Test'!$B$4:$B$30,'Class Test'!$D$4:$D$30)</f>
        <v>0</v>
      </c>
      <c r="G29" s="20">
        <f t="shared" si="0"/>
        <v>9.5</v>
      </c>
    </row>
    <row r="30" spans="1:7" x14ac:dyDescent="0.3">
      <c r="A30" s="1">
        <f t="shared" si="1"/>
        <v>27</v>
      </c>
      <c r="B30" s="1" t="s">
        <v>30</v>
      </c>
      <c r="C30" s="1" t="s">
        <v>31</v>
      </c>
      <c r="D30" s="23">
        <f>_xlfn.XLOOKUP(B30,'TFD 3-1 Attendance'!$B$4:$B$30,'TFD 3-1 Attendance'!$E$4:$E$30)</f>
        <v>6</v>
      </c>
      <c r="E30" s="11">
        <f>_xlfn.XLOOKUP(B30,Assignment!$B$4:$B$30,Assignment!$G$4:$G$30)</f>
        <v>3.25</v>
      </c>
      <c r="F30" s="11">
        <f>_xlfn.XLOOKUP(B30,'Class Test'!$B$4:$B$30,'Class Test'!$D$4:$D$30)</f>
        <v>0</v>
      </c>
      <c r="G30" s="20">
        <f t="shared" si="0"/>
        <v>9.5</v>
      </c>
    </row>
  </sheetData>
  <autoFilter ref="A3:G3" xr:uid="{2EBA8062-E81D-43C7-AF34-EABD63AE6D55}"/>
  <mergeCells count="5">
    <mergeCell ref="E1:E2"/>
    <mergeCell ref="F1:F2"/>
    <mergeCell ref="G1:G2"/>
    <mergeCell ref="A1:B1"/>
    <mergeCell ref="D1:D2"/>
  </mergeCells>
  <pageMargins left="0.25" right="0.25" top="0.75" bottom="0.75" header="0.3" footer="0.3"/>
  <pageSetup paperSize="9" scale="7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TFD 3-1 Attendance</vt:lpstr>
      <vt:lpstr>Assignment</vt:lpstr>
      <vt:lpstr>Class Test</vt:lpstr>
      <vt:lpstr>Eval.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cp:lastPrinted>2026-09-29T07:24:55Z</cp:lastPrinted>
  <dcterms:created xsi:type="dcterms:W3CDTF">2026-08-15T08:13:38Z</dcterms:created>
  <dcterms:modified xsi:type="dcterms:W3CDTF">2026-10-01T04:49:44Z</dcterms:modified>
</cp:coreProperties>
</file>