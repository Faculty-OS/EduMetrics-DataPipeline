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FA8E4587-AA46-4B23-9A7D-16C11E0A4D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ignment" sheetId="8" r:id="rId2"/>
    <sheet name="Class Test" sheetId="9" r:id="rId3"/>
    <sheet name="Eval." sheetId="10" r:id="rId4"/>
  </sheets>
  <definedNames>
    <definedName name="_xlnm._FilterDatabase" localSheetId="1" hidden="1">Assignment!$A$3:$H$3</definedName>
    <definedName name="_xlnm._FilterDatabase" localSheetId="2" hidden="1">'Class Test'!$A$3:$D$3</definedName>
    <definedName name="_xlnm._FilterDatabase" localSheetId="0" hidden="1">'DCE 2-1 Attendance'!$A$3:$H$3</definedName>
    <definedName name="_xlnm._FilterDatabase" localSheetId="3" hidden="1">Eval.!$A$3:$D$3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0" l="1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" i="10"/>
  <c r="G3" i="10"/>
  <c r="A5" i="10"/>
  <c r="A6" i="10" s="1"/>
  <c r="A5" i="9"/>
  <c r="A6" i="9" s="1"/>
  <c r="D32" i="3"/>
  <c r="D33" i="3"/>
  <c r="D34" i="3"/>
  <c r="D35" i="3"/>
  <c r="D36" i="3"/>
  <c r="D37" i="3"/>
  <c r="D38" i="3"/>
  <c r="D39" i="3"/>
  <c r="D40" i="3"/>
  <c r="D20" i="3"/>
  <c r="D21" i="3"/>
  <c r="D22" i="3"/>
  <c r="D23" i="3"/>
  <c r="D24" i="3"/>
  <c r="D25" i="3"/>
  <c r="D26" i="3"/>
  <c r="D27" i="3"/>
  <c r="D28" i="3"/>
  <c r="D29" i="3"/>
  <c r="D30" i="3"/>
  <c r="D31" i="3"/>
  <c r="D12" i="3"/>
  <c r="D13" i="3"/>
  <c r="D14" i="3"/>
  <c r="D15" i="3"/>
  <c r="D16" i="3"/>
  <c r="D17" i="3"/>
  <c r="D18" i="3"/>
  <c r="D19" i="3"/>
  <c r="D5" i="3"/>
  <c r="D6" i="3"/>
  <c r="D7" i="3"/>
  <c r="D8" i="3"/>
  <c r="D9" i="3"/>
  <c r="D10" i="3"/>
  <c r="D11" i="3"/>
  <c r="D4" i="3"/>
  <c r="A7" i="10" l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7" i="9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E5" i="3" a="1"/>
  <c r="E5" i="3" s="1"/>
  <c r="E6" i="3" a="1"/>
  <c r="E6" i="3" s="1"/>
  <c r="E7" i="3" a="1"/>
  <c r="E7" i="3" s="1"/>
  <c r="E8" i="3" a="1"/>
  <c r="E8" i="3" s="1"/>
  <c r="E9" i="3" a="1"/>
  <c r="E9" i="3" s="1"/>
  <c r="E10" i="3" a="1"/>
  <c r="E10" i="3" s="1"/>
  <c r="E11" i="3" a="1"/>
  <c r="E11" i="3" s="1"/>
  <c r="E12" i="3" a="1"/>
  <c r="E12" i="3" s="1"/>
  <c r="E13" i="3" a="1"/>
  <c r="E13" i="3" s="1"/>
  <c r="E14" i="3" a="1"/>
  <c r="E14" i="3" s="1"/>
  <c r="E15" i="3" a="1"/>
  <c r="E15" i="3" s="1"/>
  <c r="E16" i="3" a="1"/>
  <c r="E16" i="3" s="1"/>
  <c r="E17" i="3" a="1"/>
  <c r="E17" i="3" s="1"/>
  <c r="E18" i="3" a="1"/>
  <c r="E18" i="3" s="1"/>
  <c r="E19" i="3" a="1"/>
  <c r="E19" i="3" s="1"/>
  <c r="E20" i="3" a="1"/>
  <c r="E20" i="3" s="1"/>
  <c r="E21" i="3" a="1"/>
  <c r="E21" i="3" s="1"/>
  <c r="E22" i="3" a="1"/>
  <c r="E22" i="3" s="1"/>
  <c r="E23" i="3" a="1"/>
  <c r="E23" i="3" s="1"/>
  <c r="E24" i="3" a="1"/>
  <c r="E24" i="3" s="1"/>
  <c r="E25" i="3" a="1"/>
  <c r="E25" i="3" s="1"/>
  <c r="E26" i="3" a="1"/>
  <c r="E26" i="3" s="1"/>
  <c r="E27" i="3" a="1"/>
  <c r="E27" i="3" s="1"/>
  <c r="E28" i="3" a="1"/>
  <c r="E28" i="3" s="1"/>
  <c r="E29" i="3" a="1"/>
  <c r="E29" i="3" s="1"/>
  <c r="E30" i="3" a="1"/>
  <c r="E30" i="3" s="1"/>
  <c r="E31" i="3" a="1"/>
  <c r="E31" i="3" s="1"/>
  <c r="E32" i="3" a="1"/>
  <c r="E32" i="3" s="1"/>
  <c r="E33" i="3" a="1"/>
  <c r="E33" i="3" s="1"/>
  <c r="E34" i="3" a="1"/>
  <c r="E34" i="3" s="1"/>
  <c r="E35" i="3" a="1"/>
  <c r="E35" i="3" s="1"/>
  <c r="E36" i="3" a="1"/>
  <c r="E36" i="3" s="1"/>
  <c r="E37" i="3" a="1"/>
  <c r="E37" i="3" s="1"/>
  <c r="E38" i="3" a="1"/>
  <c r="E38" i="3" s="1"/>
  <c r="E39" i="3" a="1"/>
  <c r="E39" i="3" s="1"/>
  <c r="E40" i="3" a="1"/>
  <c r="E40" i="3" s="1"/>
  <c r="E4" i="3" a="1"/>
  <c r="E4" i="3" s="1"/>
  <c r="B2" i="10" l="1"/>
  <c r="B2" i="9"/>
  <c r="G3" i="8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G4" i="8"/>
  <c r="H4" i="8" s="1"/>
  <c r="A5" i="8"/>
  <c r="G2" i="3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B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<sst xmlns="http://schemas.openxmlformats.org/spreadsheetml/2006/main" count="617" uniqueCount="67">
  <si>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</si>
  <si>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</si>
  <si>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</si>
  <si>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</si>
  <si>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</si>
  <si>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</si>
  <si>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</si>
  <si>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</si>
  <si>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</si>
  <si>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</si>
  <si>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</si>
  <si>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</si>
  <si>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</si>
  <si>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</si>
  <si>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</si>
  <si>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</si>
  <si>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</si>
  <si>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</si>
  <si>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</si>
  <si>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</si>
  <si>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</si>
  <si>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</si>
  <si>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</si>
  <si>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</si>
  <si>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</si>
  <si>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</si>
  <si>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</si>
  <si>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</si>
  <si>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</si>
  <si>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</si>
  <si>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</si>
  <si>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</si>
  <si>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</si>
  <si>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</si>
  <si>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</si>
  <si>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</si>
  <si>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</si>
  <si>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</si>
  <si>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</si>
  <si>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</si>
  <si>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</si>
  <si>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</si>
  <si>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</si>
  <si>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</si>
  <si>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</si>
  <si>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</si>
  <si>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</si>
  <si>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Assignment 1</t>
  </si>
  <si>
    <t>Assignment 3</t>
  </si>
  <si>
    <t>Total</t>
  </si>
  <si>
    <t>Knitting Action (Latch)</t>
  </si>
  <si>
    <t>Knitting Action (Bearded)</t>
  </si>
  <si>
    <t>Marks</t>
  </si>
  <si>
    <t>Knitting Action (Tuck, Miss)</t>
  </si>
  <si>
    <t>Assignment 2</t>
  </si>
  <si>
    <t>Comments on 1st Assignemnt</t>
  </si>
  <si>
    <t>Not Submitted</t>
  </si>
  <si>
    <t>Comments on 2nd Assignemnt</t>
  </si>
  <si>
    <t>Comments on 3rd Assignemnt</t>
  </si>
  <si>
    <t>Drew 1 Figure</t>
  </si>
  <si>
    <t>Omit some actions</t>
  </si>
  <si>
    <t>NOAS</t>
  </si>
  <si>
    <t>Attendance</t>
  </si>
  <si>
    <t>Assignment</t>
  </si>
  <si>
    <t>CT</t>
  </si>
  <si>
    <t>NOCT</t>
  </si>
  <si>
    <t>BOEV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</si>
</sst>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2" fontId="6" fillId="1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2" fontId="5" fillId="12" borderId="1" xfId="0" applyNumberFormat="1" applyFont="1" applyFill="1" applyBorder="1" applyAlignment="1">
      <alignment horizontal="center" vertical="center"/>
    </xf>
    <xf numFmtId="2" fontId="5" fillId="14" borderId="1" xfId="0" applyNumberFormat="1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43"/>
  <sheetViews>
    <sheetView tabSelected="1" zoomScale="101" workbookViewId="0">
      <pane xSplit="5" ySplit="3" topLeftCell="L4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11.88671875" bestFit="1" customWidth="1"/>
    <col min="6" max="6" width="32.21875" style="7" bestFit="1" customWidth="1"/>
    <col min="7" max="7" width="32.6640625" style="7" bestFit="1" customWidth="1"/>
    <col min="8" max="9" width="32.21875" style="7" bestFit="1" customWidth="1"/>
    <col min="10" max="10" width="30.77734375" style="7" bestFit="1" customWidth="1"/>
    <col min="11" max="11" width="31.21875" style="7" bestFit="1" customWidth="1"/>
    <col min="12" max="12" width="32.33203125" style="7" bestFit="1" customWidth="1"/>
    <col min="13" max="13" width="32.77734375" style="7" bestFit="1" customWidth="1"/>
    <col min="14" max="14" width="32.33203125" style="7" bestFit="1" customWidth="1"/>
    <col min="15" max="15" width="32.77734375" style="7" bestFit="1" customWidth="1"/>
    <col min="16" max="16" width="32.21875" style="7" bestFit="1" customWidth="1"/>
    <col min="17" max="16384" width="20.77734375" style="7"/>
  </cols>
  <sheetData>
    <row r="1" spans="1:20" x14ac:dyDescent="0.3">
      <c r="A1" s="27" t="s">
        <v>42</v>
      </c>
      <c r="B1" s="27"/>
      <c r="C1" s="3" t="s">
        <v>39</v>
      </c>
      <c r="D1" s="3"/>
      <c r="E1" s="3"/>
      <c r="F1" s="4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</row>
    <row r="2" spans="1:20" x14ac:dyDescent="0.3">
      <c r="A2" s="3" t="s">
        <v>40</v>
      </c>
      <c r="B2" s="3">
        <f>COUNT(A4:A40)</f>
        <v>37</v>
      </c>
      <c r="C2" s="3" t="s">
        <v>41</v>
      </c>
      <c r="D2" s="3"/>
      <c r="E2" s="3"/>
      <c r="F2" s="5">
        <v>1</v>
      </c>
      <c r="G2" s="12">
        <f>F2+1</f>
        <v>2</v>
      </c>
      <c r="H2" s="12">
        <f t="shared" ref="H2:T2" si="0">G2+1</f>
        <v>3</v>
      </c>
      <c r="I2" s="12">
        <f t="shared" si="0"/>
        <v>4</v>
      </c>
      <c r="J2" s="12">
        <f t="shared" si="0"/>
        <v>5</v>
      </c>
      <c r="K2" s="12">
        <f t="shared" si="0"/>
        <v>6</v>
      </c>
      <c r="L2" s="12">
        <f t="shared" si="0"/>
        <v>7</v>
      </c>
      <c r="M2" s="12">
        <f t="shared" si="0"/>
        <v>8</v>
      </c>
      <c r="N2" s="12">
        <f t="shared" si="0"/>
        <v>9</v>
      </c>
      <c r="O2" s="12">
        <f t="shared" si="0"/>
        <v>10</v>
      </c>
      <c r="P2" s="12">
        <f t="shared" si="0"/>
        <v>11</v>
      </c>
      <c r="Q2" s="12">
        <f t="shared" si="0"/>
        <v>12</v>
      </c>
      <c r="R2" s="12">
        <f t="shared" si="0"/>
        <v>13</v>
      </c>
      <c r="S2" s="12">
        <f t="shared" si="0"/>
        <v>14</v>
      </c>
      <c r="T2" s="12">
        <f t="shared" si="0"/>
        <v>15</v>
      </c>
    </row>
    <row r="3" spans="1:20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2" t="s">
        <v>52</v>
      </c>
      <c r="F3" s="8">
        <v>46258</v>
      </c>
      <c r="G3" s="13">
        <v>46259</v>
      </c>
      <c r="H3" s="13">
        <v>46265</v>
      </c>
      <c r="I3" s="13">
        <v>46266</v>
      </c>
      <c r="J3" s="13">
        <v>46272</v>
      </c>
      <c r="K3" s="13">
        <v>46273</v>
      </c>
      <c r="L3" s="13">
        <v>46279</v>
      </c>
      <c r="M3" s="13">
        <v>46280</v>
      </c>
      <c r="N3" s="13">
        <v>46286</v>
      </c>
      <c r="O3" s="13">
        <v>46287</v>
      </c>
      <c r="P3" s="13">
        <v>46293</v>
      </c>
      <c r="Q3" s="13"/>
      <c r="R3" s="13"/>
      <c r="S3" s="13"/>
      <c r="T3" s="13"/>
    </row>
    <row r="4" spans="1:20" x14ac:dyDescent="0.3">
      <c r="A4" s="1">
        <v>1</v>
      </c>
      <c r="B4" s="1">
        <v>25010901001</v>
      </c>
      <c r="C4" s="1" t="s">
        <v>3</v>
      </c>
      <c r="D4" s="15">
        <f t="shared" ref="D4:D40" si="1">COUNTIF(F4:T4,"P")/(COUNTIF(F4:T4,"P")+COUNTIF(F4:T4,"A"))</f>
        <v>0.81818181818181823</v>
      </c>
      <c r="E4" s="1" cm="1">
        <f t="array" ref="E4">_xlfn.IFS(D4&gt;=90%,7.5,D4&gt;=80%,6,D4&gt;=70%,4.5,D4&gt;=60%,3,D4&lt;60%,0)</f>
        <v>6</v>
      </c>
      <c r="F4" s="1" t="s">
        <v>45</v>
      </c>
      <c r="G4" s="6" t="s">
        <v>43</v>
      </c>
      <c r="H4" s="1" t="s">
        <v>45</v>
      </c>
      <c r="I4" s="1" t="s">
        <v>45</v>
      </c>
      <c r="J4" s="6" t="s">
        <v>43</v>
      </c>
      <c r="K4" s="1" t="s">
        <v>45</v>
      </c>
      <c r="L4" s="1" t="s">
        <v>45</v>
      </c>
      <c r="M4" s="1" t="s">
        <v>45</v>
      </c>
      <c r="N4" s="1" t="s">
        <v>45</v>
      </c>
      <c r="O4" s="1" t="s">
        <v>45</v>
      </c>
      <c r="P4" s="1" t="s">
        <v>45</v>
      </c>
      <c r="Q4" s="1"/>
      <c r="R4" s="1"/>
      <c r="S4" s="1"/>
      <c r="T4" s="1"/>
    </row>
    <row r="5" spans="1:20" x14ac:dyDescent="0.3">
      <c r="A5" s="1">
        <f t="shared" ref="A5:A31" si="2">A4+1</f>
        <v>2</v>
      </c>
      <c r="B5" s="1">
        <v>25010901002</v>
      </c>
      <c r="C5" s="1" t="s">
        <v>4</v>
      </c>
      <c r="D5" s="15">
        <f t="shared" si="1"/>
        <v>0.81818181818181823</v>
      </c>
      <c r="E5" s="1" cm="1">
        <f t="array" ref="E5">_xlfn.IFS(D5&gt;=90%,7.5,D5&gt;=80%,6,D5&gt;=70%,4.5,D5&gt;=60%,3,D5&lt;60%,0)</f>
        <v>6</v>
      </c>
      <c r="F5" s="1" t="s">
        <v>45</v>
      </c>
      <c r="G5" s="1" t="s">
        <v>45</v>
      </c>
      <c r="H5" s="6" t="s">
        <v>43</v>
      </c>
      <c r="I5" s="6" t="s">
        <v>43</v>
      </c>
      <c r="J5" s="1" t="s">
        <v>45</v>
      </c>
      <c r="K5" s="1" t="s">
        <v>45</v>
      </c>
      <c r="L5" s="1" t="s">
        <v>45</v>
      </c>
      <c r="M5" s="1" t="s">
        <v>45</v>
      </c>
      <c r="N5" s="1" t="s">
        <v>45</v>
      </c>
      <c r="O5" s="1" t="s">
        <v>45</v>
      </c>
      <c r="P5" s="1" t="s">
        <v>45</v>
      </c>
      <c r="Q5" s="1"/>
      <c r="R5" s="1"/>
      <c r="S5" s="1"/>
      <c r="T5" s="1"/>
    </row>
    <row r="6" spans="1:20" x14ac:dyDescent="0.3">
      <c r="A6" s="1">
        <f t="shared" si="2"/>
        <v>3</v>
      </c>
      <c r="B6" s="1">
        <v>25010901003</v>
      </c>
      <c r="C6" s="1" t="s">
        <v>5</v>
      </c>
      <c r="D6" s="15">
        <f t="shared" si="1"/>
        <v>0.90909090909090906</v>
      </c>
      <c r="E6" s="1" cm="1">
        <f t="array" ref="E6">_xlfn.IFS(D6&gt;=90%,7.5,D6&gt;=80%,6,D6&gt;=70%,4.5,D6&gt;=60%,3,D6&lt;60%,0)</f>
        <v>7.5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 t="s">
        <v>45</v>
      </c>
      <c r="L6" s="1" t="s">
        <v>45</v>
      </c>
      <c r="M6" s="6" t="s">
        <v>43</v>
      </c>
      <c r="N6" s="1" t="s">
        <v>45</v>
      </c>
      <c r="O6" s="1" t="s">
        <v>45</v>
      </c>
      <c r="P6" s="1" t="s">
        <v>45</v>
      </c>
      <c r="Q6" s="1"/>
      <c r="R6" s="1"/>
      <c r="S6" s="1"/>
      <c r="T6" s="1"/>
    </row>
    <row r="7" spans="1:20" x14ac:dyDescent="0.3">
      <c r="A7" s="1">
        <f t="shared" si="2"/>
        <v>4</v>
      </c>
      <c r="B7" s="1">
        <v>25010901004</v>
      </c>
      <c r="C7" s="1" t="s">
        <v>6</v>
      </c>
      <c r="D7" s="15">
        <f t="shared" si="1"/>
        <v>0.81818181818181823</v>
      </c>
      <c r="E7" s="1" cm="1">
        <f t="array" ref="E7">_xlfn.IFS(D7&gt;=90%,7.5,D7&gt;=80%,6,D7&gt;=70%,4.5,D7&gt;=60%,3,D7&lt;60%,0)</f>
        <v>6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 t="s">
        <v>45</v>
      </c>
      <c r="L7" s="6" t="s">
        <v>43</v>
      </c>
      <c r="M7" s="6" t="s">
        <v>43</v>
      </c>
      <c r="N7" s="1" t="s">
        <v>45</v>
      </c>
      <c r="O7" s="1" t="s">
        <v>45</v>
      </c>
      <c r="P7" s="1" t="s">
        <v>45</v>
      </c>
      <c r="Q7" s="1"/>
      <c r="R7" s="1"/>
      <c r="S7" s="1"/>
      <c r="T7" s="1"/>
    </row>
    <row r="8" spans="1:20" x14ac:dyDescent="0.3">
      <c r="A8" s="1">
        <f t="shared" si="2"/>
        <v>5</v>
      </c>
      <c r="B8" s="1">
        <v>25010901005</v>
      </c>
      <c r="C8" s="1" t="s">
        <v>7</v>
      </c>
      <c r="D8" s="15">
        <f t="shared" si="1"/>
        <v>0.90909090909090906</v>
      </c>
      <c r="E8" s="1" cm="1">
        <f t="array" ref="E8">_xlfn.IFS(D8&gt;=90%,7.5,D8&gt;=80%,6,D8&gt;=70%,4.5,D8&gt;=60%,3,D8&lt;60%,0)</f>
        <v>7.5</v>
      </c>
      <c r="F8" s="1" t="s">
        <v>45</v>
      </c>
      <c r="G8" s="1" t="s">
        <v>45</v>
      </c>
      <c r="H8" s="1" t="s">
        <v>45</v>
      </c>
      <c r="I8" s="6" t="s">
        <v>43</v>
      </c>
      <c r="J8" s="1" t="s">
        <v>45</v>
      </c>
      <c r="K8" s="1" t="s">
        <v>45</v>
      </c>
      <c r="L8" s="1" t="s">
        <v>45</v>
      </c>
      <c r="M8" s="1" t="s">
        <v>45</v>
      </c>
      <c r="N8" s="1" t="s">
        <v>45</v>
      </c>
      <c r="O8" s="1" t="s">
        <v>45</v>
      </c>
      <c r="P8" s="1" t="s">
        <v>45</v>
      </c>
      <c r="Q8" s="1"/>
      <c r="R8" s="1"/>
      <c r="S8" s="1"/>
      <c r="T8" s="1"/>
    </row>
    <row r="9" spans="1:20" x14ac:dyDescent="0.3">
      <c r="A9" s="1">
        <f t="shared" si="2"/>
        <v>6</v>
      </c>
      <c r="B9" s="1">
        <v>25010901007</v>
      </c>
      <c r="C9" s="1" t="s">
        <v>8</v>
      </c>
      <c r="D9" s="15">
        <f t="shared" si="1"/>
        <v>0.72727272727272729</v>
      </c>
      <c r="E9" s="1" cm="1">
        <f t="array" ref="E9">_xlfn.IFS(D9&gt;=90%,7.5,D9&gt;=80%,6,D9&gt;=70%,4.5,D9&gt;=60%,3,D9&lt;60%,0)</f>
        <v>4.5</v>
      </c>
      <c r="F9" s="1" t="s">
        <v>45</v>
      </c>
      <c r="G9" s="6" t="s">
        <v>43</v>
      </c>
      <c r="H9" s="1" t="s">
        <v>45</v>
      </c>
      <c r="I9" s="1" t="s">
        <v>45</v>
      </c>
      <c r="J9" s="1" t="s">
        <v>45</v>
      </c>
      <c r="K9" s="1" t="s">
        <v>45</v>
      </c>
      <c r="L9" s="1" t="s">
        <v>45</v>
      </c>
      <c r="M9" s="1" t="s">
        <v>45</v>
      </c>
      <c r="N9" s="6" t="s">
        <v>43</v>
      </c>
      <c r="O9" s="6" t="s">
        <v>43</v>
      </c>
      <c r="P9" s="1" t="s">
        <v>45</v>
      </c>
      <c r="Q9" s="1"/>
      <c r="R9" s="1"/>
      <c r="S9" s="1"/>
      <c r="T9" s="1"/>
    </row>
    <row r="10" spans="1:20" x14ac:dyDescent="0.3">
      <c r="A10" s="19">
        <f t="shared" si="2"/>
        <v>7</v>
      </c>
      <c r="B10" s="1">
        <v>25010901009</v>
      </c>
      <c r="C10" s="1" t="s">
        <v>9</v>
      </c>
      <c r="D10" s="15">
        <f t="shared" si="1"/>
        <v>0.27272727272727271</v>
      </c>
      <c r="E10" s="1" cm="1">
        <f t="array" ref="E10">_xlfn.IFS(D10&gt;=90%,7.5,D10&gt;=80%,6,D10&gt;=70%,4.5,D10&gt;=60%,3,D10&lt;60%,0)</f>
        <v>0</v>
      </c>
      <c r="F10" s="1" t="s">
        <v>45</v>
      </c>
      <c r="G10" s="1" t="s">
        <v>45</v>
      </c>
      <c r="H10" s="6" t="s">
        <v>43</v>
      </c>
      <c r="I10" s="6" t="s">
        <v>43</v>
      </c>
      <c r="J10" s="6" t="s">
        <v>43</v>
      </c>
      <c r="K10" s="6" t="s">
        <v>43</v>
      </c>
      <c r="L10" s="6" t="s">
        <v>43</v>
      </c>
      <c r="M10" s="6" t="s">
        <v>43</v>
      </c>
      <c r="N10" s="6" t="s">
        <v>43</v>
      </c>
      <c r="O10" s="1" t="s">
        <v>45</v>
      </c>
      <c r="P10" s="6" t="s">
        <v>43</v>
      </c>
      <c r="Q10" s="1"/>
      <c r="R10" s="1"/>
      <c r="S10" s="1"/>
      <c r="T10" s="1"/>
    </row>
    <row r="11" spans="1:20" x14ac:dyDescent="0.3">
      <c r="A11" s="1">
        <f t="shared" si="2"/>
        <v>8</v>
      </c>
      <c r="B11" s="1">
        <v>25010901010</v>
      </c>
      <c r="C11" s="1" t="s">
        <v>10</v>
      </c>
      <c r="D11" s="15">
        <f t="shared" si="1"/>
        <v>0.81818181818181823</v>
      </c>
      <c r="E11" s="1" cm="1">
        <f t="array" ref="E11">_xlfn.IFS(D11&gt;=90%,7.5,D11&gt;=80%,6,D11&gt;=70%,4.5,D11&gt;=60%,3,D11&lt;60%,0)</f>
        <v>6</v>
      </c>
      <c r="F11" s="1" t="s">
        <v>45</v>
      </c>
      <c r="G11" s="1" t="s">
        <v>45</v>
      </c>
      <c r="H11" s="6" t="s">
        <v>43</v>
      </c>
      <c r="I11" s="1" t="s">
        <v>45</v>
      </c>
      <c r="J11" s="1" t="s">
        <v>45</v>
      </c>
      <c r="K11" s="1" t="s">
        <v>45</v>
      </c>
      <c r="L11" s="1" t="s">
        <v>45</v>
      </c>
      <c r="M11" s="6" t="s">
        <v>43</v>
      </c>
      <c r="N11" s="1" t="s">
        <v>45</v>
      </c>
      <c r="O11" s="1" t="s">
        <v>45</v>
      </c>
      <c r="P11" s="1" t="s">
        <v>45</v>
      </c>
      <c r="Q11" s="1"/>
      <c r="R11" s="1"/>
      <c r="S11" s="1"/>
      <c r="T11" s="1"/>
    </row>
    <row r="12" spans="1:20" x14ac:dyDescent="0.3">
      <c r="A12" s="1">
        <f t="shared" si="2"/>
        <v>9</v>
      </c>
      <c r="B12" s="1">
        <v>25010901011</v>
      </c>
      <c r="C12" s="1" t="s">
        <v>11</v>
      </c>
      <c r="D12" s="15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 t="s">
        <v>45</v>
      </c>
      <c r="L12" s="1" t="s">
        <v>45</v>
      </c>
      <c r="M12" s="1" t="s">
        <v>45</v>
      </c>
      <c r="N12" s="1" t="s">
        <v>45</v>
      </c>
      <c r="O12" s="1" t="s">
        <v>45</v>
      </c>
      <c r="P12" s="1" t="s">
        <v>45</v>
      </c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25010901012</v>
      </c>
      <c r="C13" s="1" t="s">
        <v>12</v>
      </c>
      <c r="D13" s="15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 t="s">
        <v>45</v>
      </c>
      <c r="L13" s="1" t="s">
        <v>45</v>
      </c>
      <c r="M13" s="1" t="s">
        <v>45</v>
      </c>
      <c r="N13" s="1" t="s">
        <v>45</v>
      </c>
      <c r="O13" s="1" t="s">
        <v>45</v>
      </c>
      <c r="P13" s="1" t="s">
        <v>45</v>
      </c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25010901013</v>
      </c>
      <c r="C14" s="1" t="s">
        <v>13</v>
      </c>
      <c r="D14" s="15">
        <f t="shared" si="1"/>
        <v>0.90909090909090906</v>
      </c>
      <c r="E14" s="1" cm="1">
        <f t="array" ref="E14">_xlfn.IFS(D14&gt;=90%,7.5,D14&gt;=80%,6,D14&gt;=70%,4.5,D14&gt;=60%,3,D14&lt;60%,0)</f>
        <v>7.5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 t="s">
        <v>45</v>
      </c>
      <c r="L14" s="1" t="s">
        <v>45</v>
      </c>
      <c r="M14" s="1" t="s">
        <v>45</v>
      </c>
      <c r="N14" s="6" t="s">
        <v>43</v>
      </c>
      <c r="O14" s="1" t="s">
        <v>45</v>
      </c>
      <c r="P14" s="1" t="s">
        <v>45</v>
      </c>
      <c r="Q14" s="1"/>
      <c r="R14" s="1"/>
      <c r="S14" s="1"/>
      <c r="T14" s="1"/>
    </row>
    <row r="15" spans="1:20" x14ac:dyDescent="0.3">
      <c r="A15" s="1">
        <f t="shared" si="2"/>
        <v>12</v>
      </c>
      <c r="B15" s="1">
        <v>25010901014</v>
      </c>
      <c r="C15" s="1" t="s">
        <v>14</v>
      </c>
      <c r="D15" s="15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 t="s">
        <v>45</v>
      </c>
      <c r="L15" s="1" t="s">
        <v>45</v>
      </c>
      <c r="M15" s="1" t="s">
        <v>45</v>
      </c>
      <c r="N15" s="1" t="s">
        <v>45</v>
      </c>
      <c r="O15" s="1" t="s">
        <v>45</v>
      </c>
      <c r="P15" s="1" t="s">
        <v>45</v>
      </c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25010901015</v>
      </c>
      <c r="C16" s="1" t="s">
        <v>15</v>
      </c>
      <c r="D16" s="15">
        <f t="shared" si="1"/>
        <v>0.90909090909090906</v>
      </c>
      <c r="E16" s="1" cm="1">
        <f t="array" ref="E16">_xlfn.IFS(D16&gt;=90%,7.5,D16&gt;=80%,6,D16&gt;=70%,4.5,D16&gt;=60%,3,D16&lt;60%,0)</f>
        <v>7.5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 t="s">
        <v>45</v>
      </c>
      <c r="L16" s="1" t="s">
        <v>45</v>
      </c>
      <c r="M16" s="1" t="s">
        <v>45</v>
      </c>
      <c r="N16" s="1" t="s">
        <v>45</v>
      </c>
      <c r="O16" s="1" t="s">
        <v>45</v>
      </c>
      <c r="P16" s="6" t="s">
        <v>43</v>
      </c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25010901017</v>
      </c>
      <c r="C17" s="1" t="s">
        <v>16</v>
      </c>
      <c r="D17" s="15">
        <f t="shared" si="1"/>
        <v>0.81818181818181823</v>
      </c>
      <c r="E17" s="1" cm="1">
        <f t="array" ref="E17">_xlfn.IFS(D17&gt;=90%,7.5,D17&gt;=80%,6,D17&gt;=70%,4.5,D17&gt;=60%,3,D17&lt;60%,0)</f>
        <v>6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 t="s">
        <v>45</v>
      </c>
      <c r="L17" s="1" t="s">
        <v>45</v>
      </c>
      <c r="M17" s="6" t="s">
        <v>43</v>
      </c>
      <c r="N17" s="1" t="s">
        <v>45</v>
      </c>
      <c r="O17" s="1" t="s">
        <v>45</v>
      </c>
      <c r="P17" s="6" t="s">
        <v>43</v>
      </c>
      <c r="Q17" s="1"/>
      <c r="R17" s="1"/>
      <c r="S17" s="1"/>
      <c r="T17" s="1"/>
    </row>
    <row r="18" spans="1:20" x14ac:dyDescent="0.3">
      <c r="A18" s="10">
        <f t="shared" si="2"/>
        <v>15</v>
      </c>
      <c r="B18" s="1">
        <v>25010901018</v>
      </c>
      <c r="C18" s="1" t="s">
        <v>17</v>
      </c>
      <c r="D18" s="15">
        <f t="shared" si="1"/>
        <v>0.90909090909090906</v>
      </c>
      <c r="E18" s="1" cm="1">
        <f t="array" ref="E18">_xlfn.IFS(D18&gt;=90%,7.5,D18&gt;=80%,6,D18&gt;=70%,4.5,D18&gt;=60%,3,D18&lt;60%,0)</f>
        <v>7.5</v>
      </c>
      <c r="F18" s="1" t="s">
        <v>45</v>
      </c>
      <c r="G18" s="1" t="s">
        <v>45</v>
      </c>
      <c r="H18" s="1" t="s">
        <v>45</v>
      </c>
      <c r="I18" s="1" t="s">
        <v>45</v>
      </c>
      <c r="J18" s="6" t="s">
        <v>43</v>
      </c>
      <c r="K18" s="1" t="s">
        <v>45</v>
      </c>
      <c r="L18" s="1" t="s">
        <v>45</v>
      </c>
      <c r="M18" s="1" t="s">
        <v>45</v>
      </c>
      <c r="N18" s="1" t="s">
        <v>45</v>
      </c>
      <c r="O18" s="1" t="s">
        <v>45</v>
      </c>
      <c r="P18" s="1" t="s">
        <v>45</v>
      </c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25010901019</v>
      </c>
      <c r="C19" s="1" t="s">
        <v>18</v>
      </c>
      <c r="D19" s="15">
        <f t="shared" si="1"/>
        <v>0.90909090909090906</v>
      </c>
      <c r="E19" s="1" cm="1">
        <f t="array" ref="E19">_xlfn.IFS(D19&gt;=90%,7.5,D19&gt;=80%,6,D19&gt;=70%,4.5,D19&gt;=60%,3,D19&lt;60%,0)</f>
        <v>7.5</v>
      </c>
      <c r="F19" s="1" t="s">
        <v>45</v>
      </c>
      <c r="G19" s="1" t="s">
        <v>45</v>
      </c>
      <c r="H19" s="1" t="s">
        <v>45</v>
      </c>
      <c r="I19" s="1" t="s">
        <v>45</v>
      </c>
      <c r="J19" s="6" t="s">
        <v>43</v>
      </c>
      <c r="K19" s="1" t="s">
        <v>45</v>
      </c>
      <c r="L19" s="1" t="s">
        <v>45</v>
      </c>
      <c r="M19" s="1" t="s">
        <v>45</v>
      </c>
      <c r="N19" s="1" t="s">
        <v>45</v>
      </c>
      <c r="O19" s="1" t="s">
        <v>45</v>
      </c>
      <c r="P19" s="1" t="s">
        <v>45</v>
      </c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25010901020</v>
      </c>
      <c r="C20" s="1" t="s">
        <v>19</v>
      </c>
      <c r="D20" s="15">
        <f t="shared" si="1"/>
        <v>0.90909090909090906</v>
      </c>
      <c r="E20" s="1" cm="1">
        <f t="array" ref="E20">_xlfn.IFS(D20&gt;=90%,7.5,D20&gt;=80%,6,D20&gt;=70%,4.5,D20&gt;=60%,3,D20&lt;60%,0)</f>
        <v>7.5</v>
      </c>
      <c r="F20" s="1" t="s">
        <v>45</v>
      </c>
      <c r="G20" s="1" t="s">
        <v>45</v>
      </c>
      <c r="H20" s="1" t="s">
        <v>45</v>
      </c>
      <c r="I20" s="1" t="s">
        <v>45</v>
      </c>
      <c r="J20" s="6" t="s">
        <v>43</v>
      </c>
      <c r="K20" s="1" t="s">
        <v>45</v>
      </c>
      <c r="L20" s="1" t="s">
        <v>45</v>
      </c>
      <c r="M20" s="1" t="s">
        <v>45</v>
      </c>
      <c r="N20" s="1" t="s">
        <v>45</v>
      </c>
      <c r="O20" s="1" t="s">
        <v>45</v>
      </c>
      <c r="P20" s="1" t="s">
        <v>45</v>
      </c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25010901021</v>
      </c>
      <c r="C21" s="1" t="s">
        <v>20</v>
      </c>
      <c r="D21" s="15">
        <f t="shared" si="1"/>
        <v>0.81818181818181823</v>
      </c>
      <c r="E21" s="1" cm="1">
        <f t="array" ref="E21">_xlfn.IFS(D21&gt;=90%,7.5,D21&gt;=80%,6,D21&gt;=70%,4.5,D21&gt;=60%,3,D21&lt;60%,0)</f>
        <v>6</v>
      </c>
      <c r="F21" s="6" t="s">
        <v>43</v>
      </c>
      <c r="G21" s="1" t="s">
        <v>45</v>
      </c>
      <c r="H21" s="1" t="s">
        <v>45</v>
      </c>
      <c r="I21" s="1" t="s">
        <v>45</v>
      </c>
      <c r="J21" s="1" t="s">
        <v>45</v>
      </c>
      <c r="K21" s="1" t="s">
        <v>45</v>
      </c>
      <c r="L21" s="1" t="s">
        <v>45</v>
      </c>
      <c r="M21" s="1" t="s">
        <v>45</v>
      </c>
      <c r="N21" s="6" t="s">
        <v>43</v>
      </c>
      <c r="O21" s="1" t="s">
        <v>45</v>
      </c>
      <c r="P21" s="1" t="s">
        <v>45</v>
      </c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25010901022</v>
      </c>
      <c r="C22" s="1" t="s">
        <v>21</v>
      </c>
      <c r="D22" s="15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 t="s">
        <v>45</v>
      </c>
      <c r="L22" s="1" t="s">
        <v>45</v>
      </c>
      <c r="M22" s="1" t="s">
        <v>45</v>
      </c>
      <c r="N22" s="1" t="s">
        <v>45</v>
      </c>
      <c r="O22" s="1" t="s">
        <v>45</v>
      </c>
      <c r="P22" s="1" t="s">
        <v>45</v>
      </c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25010901023</v>
      </c>
      <c r="C23" s="1" t="s">
        <v>22</v>
      </c>
      <c r="D23" s="15">
        <f t="shared" si="1"/>
        <v>0.90909090909090906</v>
      </c>
      <c r="E23" s="1" cm="1">
        <f t="array" ref="E23">_xlfn.IFS(D23&gt;=90%,7.5,D23&gt;=80%,6,D23&gt;=70%,4.5,D23&gt;=60%,3,D23&lt;60%,0)</f>
        <v>7.5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 t="s">
        <v>45</v>
      </c>
      <c r="L23" s="1" t="s">
        <v>45</v>
      </c>
      <c r="M23" s="6" t="s">
        <v>43</v>
      </c>
      <c r="N23" s="1" t="s">
        <v>45</v>
      </c>
      <c r="O23" s="1" t="s">
        <v>45</v>
      </c>
      <c r="P23" s="1" t="s">
        <v>45</v>
      </c>
      <c r="Q23" s="1"/>
      <c r="R23" s="1"/>
      <c r="S23" s="1"/>
      <c r="T23" s="1"/>
    </row>
    <row r="24" spans="1:20" x14ac:dyDescent="0.3">
      <c r="A24" s="1">
        <f t="shared" si="2"/>
        <v>21</v>
      </c>
      <c r="B24" s="1">
        <v>25010901024</v>
      </c>
      <c r="C24" s="1" t="s">
        <v>23</v>
      </c>
      <c r="D24" s="15">
        <f t="shared" si="1"/>
        <v>0.81818181818181823</v>
      </c>
      <c r="E24" s="1" cm="1">
        <f t="array" ref="E24">_xlfn.IFS(D24&gt;=90%,7.5,D24&gt;=80%,6,D24&gt;=70%,4.5,D24&gt;=60%,3,D24&lt;60%,0)</f>
        <v>6</v>
      </c>
      <c r="F24" s="1" t="s">
        <v>45</v>
      </c>
      <c r="G24" s="1" t="s">
        <v>45</v>
      </c>
      <c r="H24" s="6" t="s">
        <v>43</v>
      </c>
      <c r="I24" s="6" t="s">
        <v>43</v>
      </c>
      <c r="J24" s="1" t="s">
        <v>45</v>
      </c>
      <c r="K24" s="1" t="s">
        <v>45</v>
      </c>
      <c r="L24" s="1" t="s">
        <v>45</v>
      </c>
      <c r="M24" s="1" t="s">
        <v>45</v>
      </c>
      <c r="N24" s="1" t="s">
        <v>45</v>
      </c>
      <c r="O24" s="1" t="s">
        <v>45</v>
      </c>
      <c r="P24" s="1" t="s">
        <v>45</v>
      </c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25010901025</v>
      </c>
      <c r="C25" s="1" t="s">
        <v>24</v>
      </c>
      <c r="D25" s="15">
        <f t="shared" si="1"/>
        <v>0.81818181818181823</v>
      </c>
      <c r="E25" s="1" cm="1">
        <f t="array" ref="E25">_xlfn.IFS(D25&gt;=90%,7.5,D25&gt;=80%,6,D25&gt;=70%,4.5,D25&gt;=60%,3,D25&lt;60%,0)</f>
        <v>6</v>
      </c>
      <c r="F25" s="6" t="s">
        <v>43</v>
      </c>
      <c r="G25" s="1" t="s">
        <v>45</v>
      </c>
      <c r="H25" s="1" t="s">
        <v>45</v>
      </c>
      <c r="I25" s="1" t="s">
        <v>45</v>
      </c>
      <c r="J25" s="1" t="s">
        <v>45</v>
      </c>
      <c r="K25" s="1" t="s">
        <v>45</v>
      </c>
      <c r="L25" s="6" t="s">
        <v>43</v>
      </c>
      <c r="M25" s="1" t="s">
        <v>45</v>
      </c>
      <c r="N25" s="1" t="s">
        <v>45</v>
      </c>
      <c r="O25" s="1" t="s">
        <v>45</v>
      </c>
      <c r="P25" s="1" t="s">
        <v>45</v>
      </c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25010901026</v>
      </c>
      <c r="C26" s="1" t="s">
        <v>25</v>
      </c>
      <c r="D26" s="15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 t="s">
        <v>45</v>
      </c>
      <c r="L26" s="1" t="s">
        <v>45</v>
      </c>
      <c r="M26" s="1" t="s">
        <v>45</v>
      </c>
      <c r="N26" s="1" t="s">
        <v>45</v>
      </c>
      <c r="O26" s="1" t="s">
        <v>45</v>
      </c>
      <c r="P26" s="1" t="s">
        <v>45</v>
      </c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25010901027</v>
      </c>
      <c r="C27" s="1" t="s">
        <v>26</v>
      </c>
      <c r="D27" s="15">
        <f t="shared" si="1"/>
        <v>0.72727272727272729</v>
      </c>
      <c r="E27" s="1" cm="1">
        <f t="array" ref="E27">_xlfn.IFS(D27&gt;=90%,7.5,D27&gt;=80%,6,D27&gt;=70%,4.5,D27&gt;=60%,3,D27&lt;60%,0)</f>
        <v>4.5</v>
      </c>
      <c r="F27" s="6" t="s">
        <v>43</v>
      </c>
      <c r="G27" s="1" t="s">
        <v>45</v>
      </c>
      <c r="H27" s="1" t="s">
        <v>45</v>
      </c>
      <c r="I27" s="1" t="s">
        <v>45</v>
      </c>
      <c r="J27" s="6" t="s">
        <v>43</v>
      </c>
      <c r="K27" s="1" t="s">
        <v>45</v>
      </c>
      <c r="L27" s="1" t="s">
        <v>45</v>
      </c>
      <c r="M27" s="1" t="s">
        <v>45</v>
      </c>
      <c r="N27" s="1" t="s">
        <v>45</v>
      </c>
      <c r="O27" s="6" t="s">
        <v>43</v>
      </c>
      <c r="P27" s="1" t="s">
        <v>45</v>
      </c>
      <c r="Q27" s="1"/>
      <c r="R27" s="1"/>
      <c r="S27" s="1"/>
      <c r="T27" s="1"/>
    </row>
    <row r="28" spans="1:20" x14ac:dyDescent="0.3">
      <c r="A28" s="10">
        <f t="shared" si="2"/>
        <v>25</v>
      </c>
      <c r="B28" s="1">
        <v>25010901029</v>
      </c>
      <c r="C28" s="1" t="s">
        <v>27</v>
      </c>
      <c r="D28" s="15">
        <f t="shared" si="1"/>
        <v>1</v>
      </c>
      <c r="E28" s="1" cm="1">
        <f t="array" ref="E28">_xlfn.IFS(D28&gt;=90%,7.5,D28&gt;=80%,6,D28&gt;=70%,4.5,D28&gt;=60%,3,D28&lt;60%,0)</f>
        <v>7.5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 t="s">
        <v>45</v>
      </c>
      <c r="L28" s="1" t="s">
        <v>45</v>
      </c>
      <c r="M28" s="1" t="s">
        <v>45</v>
      </c>
      <c r="N28" s="1" t="s">
        <v>45</v>
      </c>
      <c r="O28" s="1" t="s">
        <v>45</v>
      </c>
      <c r="P28" s="1" t="s">
        <v>45</v>
      </c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25010901030</v>
      </c>
      <c r="C29" s="1" t="s">
        <v>28</v>
      </c>
      <c r="D29" s="15">
        <f t="shared" si="1"/>
        <v>0.90909090909090906</v>
      </c>
      <c r="E29" s="1" cm="1">
        <f t="array" ref="E29">_xlfn.IFS(D29&gt;=90%,7.5,D29&gt;=80%,6,D29&gt;=70%,4.5,D29&gt;=60%,3,D29&lt;60%,0)</f>
        <v>7.5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 t="s">
        <v>45</v>
      </c>
      <c r="L29" s="6" t="s">
        <v>43</v>
      </c>
      <c r="M29" s="1" t="s">
        <v>45</v>
      </c>
      <c r="N29" s="1" t="s">
        <v>45</v>
      </c>
      <c r="O29" s="1" t="s">
        <v>45</v>
      </c>
      <c r="P29" s="1" t="s">
        <v>45</v>
      </c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25010901031</v>
      </c>
      <c r="C30" s="1" t="s">
        <v>29</v>
      </c>
      <c r="D30" s="15">
        <f t="shared" si="1"/>
        <v>0.72727272727272729</v>
      </c>
      <c r="E30" s="1" cm="1">
        <f t="array" ref="E30">_xlfn.IFS(D30&gt;=90%,7.5,D30&gt;=80%,6,D30&gt;=70%,4.5,D30&gt;=60%,3,D30&lt;60%,0)</f>
        <v>4.5</v>
      </c>
      <c r="F30" s="1" t="s">
        <v>45</v>
      </c>
      <c r="G30" s="1" t="s">
        <v>45</v>
      </c>
      <c r="H30" s="6" t="s">
        <v>43</v>
      </c>
      <c r="I30" s="6" t="s">
        <v>43</v>
      </c>
      <c r="J30" s="1" t="s">
        <v>45</v>
      </c>
      <c r="K30" s="1" t="s">
        <v>45</v>
      </c>
      <c r="L30" s="6" t="s">
        <v>43</v>
      </c>
      <c r="M30" s="1" t="s">
        <v>45</v>
      </c>
      <c r="N30" s="1" t="s">
        <v>45</v>
      </c>
      <c r="O30" s="1" t="s">
        <v>45</v>
      </c>
      <c r="P30" s="1" t="s">
        <v>45</v>
      </c>
      <c r="Q30" s="1"/>
      <c r="R30" s="1"/>
      <c r="S30" s="1"/>
      <c r="T30" s="1"/>
    </row>
    <row r="31" spans="1:20" x14ac:dyDescent="0.3">
      <c r="A31" s="1">
        <f t="shared" si="2"/>
        <v>28</v>
      </c>
      <c r="B31" s="1">
        <v>25010901032</v>
      </c>
      <c r="C31" s="1" t="s">
        <v>30</v>
      </c>
      <c r="D31" s="15">
        <f t="shared" si="1"/>
        <v>1</v>
      </c>
      <c r="E31" s="1" cm="1">
        <f t="array" ref="E31">_xlfn.IFS(D31&gt;=90%,7.5,D31&gt;=80%,6,D31&gt;=70%,4.5,D31&gt;=60%,3,D31&lt;60%,0)</f>
        <v>7.5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 t="s">
        <v>45</v>
      </c>
      <c r="L31" s="1" t="s">
        <v>45</v>
      </c>
      <c r="M31" s="1" t="s">
        <v>45</v>
      </c>
      <c r="N31" s="1" t="s">
        <v>45</v>
      </c>
      <c r="O31" s="1" t="s">
        <v>45</v>
      </c>
      <c r="P31" s="1" t="s">
        <v>45</v>
      </c>
      <c r="Q31" s="1"/>
      <c r="R31" s="1"/>
      <c r="S31" s="1"/>
      <c r="T31" s="1"/>
    </row>
    <row r="32" spans="1:20" x14ac:dyDescent="0.3">
      <c r="A32" s="1">
        <f t="shared" ref="A32:A40" si="3">A31+1</f>
        <v>29</v>
      </c>
      <c r="B32" s="1">
        <v>25010901033</v>
      </c>
      <c r="C32" s="1" t="s">
        <v>31</v>
      </c>
      <c r="D32" s="15">
        <f t="shared" si="1"/>
        <v>0.81818181818181823</v>
      </c>
      <c r="E32" s="1" cm="1">
        <f t="array" ref="E32">_xlfn.IFS(D32&gt;=90%,7.5,D32&gt;=80%,6,D32&gt;=70%,4.5,D32&gt;=60%,3,D32&lt;60%,0)</f>
        <v>6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 t="s">
        <v>45</v>
      </c>
      <c r="L32" s="6" t="s">
        <v>43</v>
      </c>
      <c r="M32" s="1" t="s">
        <v>45</v>
      </c>
      <c r="N32" s="1" t="s">
        <v>45</v>
      </c>
      <c r="O32" s="1" t="s">
        <v>45</v>
      </c>
      <c r="P32" s="6" t="s">
        <v>43</v>
      </c>
      <c r="Q32" s="1"/>
      <c r="R32" s="1"/>
      <c r="S32" s="1"/>
      <c r="T32" s="1"/>
    </row>
    <row r="33" spans="1:20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 t="s">
        <v>45</v>
      </c>
      <c r="L33" s="1" t="s">
        <v>45</v>
      </c>
      <c r="M33" s="1" t="s">
        <v>45</v>
      </c>
      <c r="N33" s="1" t="s">
        <v>45</v>
      </c>
      <c r="O33" s="1" t="s">
        <v>45</v>
      </c>
      <c r="P33" s="1" t="s">
        <v>45</v>
      </c>
      <c r="Q33" s="1"/>
      <c r="R33" s="1"/>
      <c r="S33" s="1"/>
      <c r="T33" s="1"/>
    </row>
    <row r="34" spans="1:20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 t="s">
        <v>45</v>
      </c>
      <c r="L34" s="1" t="s">
        <v>45</v>
      </c>
      <c r="M34" s="1" t="s">
        <v>45</v>
      </c>
      <c r="N34" s="1" t="s">
        <v>45</v>
      </c>
      <c r="O34" s="1" t="s">
        <v>45</v>
      </c>
      <c r="P34" s="1" t="s">
        <v>45</v>
      </c>
      <c r="Q34" s="1"/>
      <c r="R34" s="1"/>
      <c r="S34" s="1"/>
      <c r="T34" s="1"/>
    </row>
    <row r="35" spans="1:20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1"/>
        <v>0.90909090909090906</v>
      </c>
      <c r="E35" s="1" cm="1">
        <f t="array" ref="E35">_xlfn.IFS(D35&gt;=90%,7.5,D35&gt;=80%,6,D35&gt;=70%,4.5,D35&gt;=60%,3,D35&lt;60%,0)</f>
        <v>7.5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 t="s">
        <v>45</v>
      </c>
      <c r="L35" s="1" t="s">
        <v>45</v>
      </c>
      <c r="M35" s="6" t="s">
        <v>43</v>
      </c>
      <c r="N35" s="1" t="s">
        <v>45</v>
      </c>
      <c r="O35" s="1" t="s">
        <v>45</v>
      </c>
      <c r="P35" s="1" t="s">
        <v>45</v>
      </c>
      <c r="Q35" s="1"/>
      <c r="R35" s="1"/>
      <c r="S35" s="1"/>
      <c r="T35" s="1"/>
    </row>
    <row r="36" spans="1:20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1"/>
        <v>0.81818181818181823</v>
      </c>
      <c r="E36" s="1" cm="1">
        <f t="array" ref="E36">_xlfn.IFS(D36&gt;=90%,7.5,D36&gt;=80%,6,D36&gt;=70%,4.5,D36&gt;=60%,3,D36&lt;60%,0)</f>
        <v>6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 t="s">
        <v>45</v>
      </c>
      <c r="L36" s="1" t="s">
        <v>45</v>
      </c>
      <c r="M36" s="1" t="s">
        <v>45</v>
      </c>
      <c r="N36" s="6" t="s">
        <v>43</v>
      </c>
      <c r="O36" s="1" t="s">
        <v>45</v>
      </c>
      <c r="P36" s="6" t="s">
        <v>43</v>
      </c>
      <c r="Q36" s="1"/>
      <c r="R36" s="1"/>
      <c r="S36" s="1"/>
      <c r="T36" s="1"/>
    </row>
    <row r="37" spans="1:20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 t="s">
        <v>45</v>
      </c>
      <c r="L37" s="1" t="s">
        <v>45</v>
      </c>
      <c r="M37" s="1" t="s">
        <v>45</v>
      </c>
      <c r="N37" s="1" t="s">
        <v>45</v>
      </c>
      <c r="O37" s="1" t="s">
        <v>45</v>
      </c>
      <c r="P37" s="1" t="s">
        <v>45</v>
      </c>
      <c r="Q37" s="1"/>
      <c r="R37" s="1"/>
      <c r="S37" s="1"/>
      <c r="T37" s="1"/>
    </row>
    <row r="38" spans="1:20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1"/>
        <v>0.45454545454545453</v>
      </c>
      <c r="E38" s="1" cm="1">
        <f t="array" ref="E38">_xlfn.IFS(D38&gt;=90%,7.5,D38&gt;=80%,6,D38&gt;=70%,4.5,D38&gt;=60%,3,D38&lt;60%,0)</f>
        <v>0</v>
      </c>
      <c r="F38" s="6" t="s">
        <v>43</v>
      </c>
      <c r="G38" s="1" t="s">
        <v>45</v>
      </c>
      <c r="H38" s="1" t="s">
        <v>45</v>
      </c>
      <c r="I38" s="6" t="s">
        <v>43</v>
      </c>
      <c r="J38" s="6" t="s">
        <v>43</v>
      </c>
      <c r="K38" s="6" t="s">
        <v>43</v>
      </c>
      <c r="L38" s="6" t="s">
        <v>43</v>
      </c>
      <c r="M38" s="1" t="s">
        <v>45</v>
      </c>
      <c r="N38" s="1" t="s">
        <v>45</v>
      </c>
      <c r="O38" s="1" t="s">
        <v>45</v>
      </c>
      <c r="P38" s="6" t="s">
        <v>43</v>
      </c>
      <c r="Q38" s="1"/>
      <c r="R38" s="1"/>
      <c r="S38" s="1"/>
      <c r="T38" s="1"/>
    </row>
    <row r="39" spans="1:20" x14ac:dyDescent="0.3">
      <c r="A39" s="1">
        <f t="shared" si="3"/>
        <v>36</v>
      </c>
      <c r="B39" s="1">
        <v>24010901023</v>
      </c>
      <c r="C39" s="1" t="s">
        <v>44</v>
      </c>
      <c r="D39" s="15">
        <f t="shared" si="1"/>
        <v>0.54545454545454541</v>
      </c>
      <c r="E39" s="1" cm="1">
        <f t="array" ref="E39">_xlfn.IFS(D39&gt;=90%,7.5,D39&gt;=80%,6,D39&gt;=70%,4.5,D39&gt;=60%,3,D39&lt;60%,0)</f>
        <v>0</v>
      </c>
      <c r="F39" s="1" t="s">
        <v>45</v>
      </c>
      <c r="G39" s="1" t="s">
        <v>45</v>
      </c>
      <c r="H39" s="6" t="s">
        <v>43</v>
      </c>
      <c r="I39" s="6" t="s">
        <v>43</v>
      </c>
      <c r="J39" s="1" t="s">
        <v>45</v>
      </c>
      <c r="K39" s="1" t="s">
        <v>45</v>
      </c>
      <c r="L39" s="1" t="s">
        <v>45</v>
      </c>
      <c r="M39" s="6" t="s">
        <v>43</v>
      </c>
      <c r="N39" s="6" t="s">
        <v>43</v>
      </c>
      <c r="O39" s="1" t="s">
        <v>45</v>
      </c>
      <c r="P39" s="6" t="s">
        <v>43</v>
      </c>
      <c r="Q39" s="1"/>
      <c r="R39" s="1"/>
      <c r="S39" s="1"/>
      <c r="T39" s="1"/>
    </row>
    <row r="40" spans="1:20" x14ac:dyDescent="0.3">
      <c r="A40" s="1">
        <f t="shared" si="3"/>
        <v>37</v>
      </c>
      <c r="B40" s="1">
        <v>24010901033</v>
      </c>
      <c r="C40" s="1" t="s">
        <v>38</v>
      </c>
      <c r="D40" s="15">
        <f t="shared" si="1"/>
        <v>0.63636363636363635</v>
      </c>
      <c r="E40" s="1" cm="1">
        <f t="array" ref="E40">_xlfn.IFS(D40&gt;=90%,7.5,D40&gt;=80%,6,D40&gt;=70%,4.5,D40&gt;=60%,3,D40&lt;60%,0)</f>
        <v>3</v>
      </c>
      <c r="F40" s="1" t="s">
        <v>45</v>
      </c>
      <c r="G40" s="1" t="s">
        <v>45</v>
      </c>
      <c r="H40" s="6" t="s">
        <v>43</v>
      </c>
      <c r="I40" s="1" t="s">
        <v>45</v>
      </c>
      <c r="J40" s="1" t="s">
        <v>45</v>
      </c>
      <c r="K40" s="6" t="s">
        <v>43</v>
      </c>
      <c r="L40" s="1" t="s">
        <v>45</v>
      </c>
      <c r="M40" s="1" t="s">
        <v>45</v>
      </c>
      <c r="N40" s="6" t="s">
        <v>43</v>
      </c>
      <c r="O40" s="6" t="s">
        <v>43</v>
      </c>
      <c r="P40" s="1" t="s">
        <v>45</v>
      </c>
      <c r="Q40" s="1"/>
      <c r="R40" s="1"/>
      <c r="S40" s="1"/>
      <c r="T40" s="1"/>
    </row>
    <row r="41" spans="1:20" x14ac:dyDescent="0.3">
      <c r="E41" s="7"/>
      <c r="G41" s="14"/>
      <c r="H41" s="14"/>
      <c r="I41" s="14"/>
    </row>
    <row r="42" spans="1:20" x14ac:dyDescent="0.3">
      <c r="G42" s="14"/>
      <c r="H42" s="14"/>
      <c r="I42" s="14"/>
    </row>
    <row r="43" spans="1:20" x14ac:dyDescent="0.3">
      <c r="G43" s="14"/>
      <c r="H43" s="14"/>
      <c r="I43" s="14"/>
    </row>
  </sheetData>
  <autoFilter ref="A3:H3" xr:uid="{00000000-0001-0000-0000-000000000000}"/>
  <mergeCells count="1">
    <mergeCell ref="A1:B1"/>
  </mergeCells>
  <conditionalFormatting sqref="D4:D40">
    <cfRule type="cellIs" dxfId="7" priority="1" operator="greaterThan">
      <formula>0.79</formula>
    </cfRule>
    <cfRule type="cellIs" dxfId="6" priority="2" operator="greaterThan">
      <formula>0.89</formula>
    </cfRule>
    <cfRule type="cellIs" dxfId="5" priority="3" operator="lessThan">
      <formula>0.6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0">
    <cfRule type="cellIs" dxfId="2" priority="12" operator="lessThan">
      <formula>3</formula>
    </cfRule>
    <cfRule type="cellIs" dxfId="1" priority="13" operator="between">
      <formula>2</formula>
      <formula>5.5</formula>
    </cfRule>
    <cfRule type="cellIs" dxfId="0" priority="14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sheetPr>
    <pageSetUpPr fitToPage="1"/>
  </sheetPr>
  <dimension ref="A1:K40"/>
  <sheetViews>
    <sheetView zoomScale="110" workbookViewId="0">
      <pane xSplit="3" ySplit="3" topLeftCell="E4" activePane="bottomRight" state="frozen"/>
      <selection pane="topRight" activeCell="E1" sqref="E1"/>
      <selection pane="bottomLeft" activeCell="A4" sqref="A4"/>
      <selection pane="bottomRight" activeCell="F9" sqref="F9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6" width="31" style="7" bestFit="1" customWidth="1"/>
    <col min="7" max="7" width="11.44140625" style="7" customWidth="1"/>
    <col min="8" max="8" width="11.44140625" style="24" customWidth="1"/>
    <col min="9" max="9" width="25.44140625" style="7" customWidth="1"/>
    <col min="10" max="11" width="27.77734375" style="7" customWidth="1"/>
    <col min="12" max="16384" width="20.77734375" style="7"/>
  </cols>
  <sheetData>
    <row r="1" spans="1:11" x14ac:dyDescent="0.3">
      <c r="A1" s="27" t="s">
        <v>42</v>
      </c>
      <c r="B1" s="27"/>
      <c r="C1" s="3" t="s">
        <v>39</v>
      </c>
      <c r="D1" s="12" t="s">
        <v>47</v>
      </c>
      <c r="E1" s="12" t="s">
        <v>54</v>
      </c>
      <c r="F1" s="12" t="s">
        <v>48</v>
      </c>
      <c r="G1" s="28" t="s">
        <v>49</v>
      </c>
      <c r="H1" s="28"/>
      <c r="I1" s="29" t="s">
        <v>55</v>
      </c>
      <c r="J1" s="30" t="s">
        <v>57</v>
      </c>
      <c r="K1" s="30" t="s">
        <v>58</v>
      </c>
    </row>
    <row r="2" spans="1:11" x14ac:dyDescent="0.3">
      <c r="A2" s="3" t="s">
        <v>40</v>
      </c>
      <c r="B2" s="3">
        <f>COUNT(A4:A40)</f>
        <v>37</v>
      </c>
      <c r="C2" s="3" t="s">
        <v>61</v>
      </c>
      <c r="D2" s="12" t="s">
        <v>50</v>
      </c>
      <c r="E2" s="12" t="s">
        <v>51</v>
      </c>
      <c r="F2" s="12" t="s">
        <v>53</v>
      </c>
      <c r="G2" s="28"/>
      <c r="H2" s="28"/>
      <c r="I2" s="29"/>
      <c r="J2" s="31"/>
      <c r="K2" s="31"/>
    </row>
    <row r="3" spans="1:11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6">
        <f t="shared" ref="G3:G40" si="0">SUM(D3:F3)</f>
        <v>22.5</v>
      </c>
      <c r="H3" s="22">
        <v>7.5</v>
      </c>
      <c r="I3" s="29"/>
      <c r="J3" s="32"/>
      <c r="K3" s="32"/>
    </row>
    <row r="4" spans="1:11" x14ac:dyDescent="0.3">
      <c r="A4" s="1">
        <v>1</v>
      </c>
      <c r="B4" s="1">
        <v>25010901001</v>
      </c>
      <c r="C4" s="1" t="s">
        <v>3</v>
      </c>
      <c r="D4" s="17">
        <v>6</v>
      </c>
      <c r="E4" s="20">
        <v>6.5</v>
      </c>
      <c r="F4" s="17"/>
      <c r="G4" s="17">
        <f t="shared" si="0"/>
        <v>12.5</v>
      </c>
      <c r="H4" s="23">
        <f>G4/3</f>
        <v>4.166666666666667</v>
      </c>
      <c r="I4" s="1"/>
      <c r="J4" s="1"/>
      <c r="K4" s="1"/>
    </row>
    <row r="5" spans="1:11" x14ac:dyDescent="0.3">
      <c r="A5" s="1">
        <f t="shared" ref="A5:A40" si="1">A4+1</f>
        <v>2</v>
      </c>
      <c r="B5" s="1">
        <v>25010901002</v>
      </c>
      <c r="C5" s="1" t="s">
        <v>4</v>
      </c>
      <c r="D5" s="20">
        <v>3.75</v>
      </c>
      <c r="E5" s="20">
        <v>3.25</v>
      </c>
      <c r="F5" s="17"/>
      <c r="G5" s="17">
        <f t="shared" si="0"/>
        <v>7</v>
      </c>
      <c r="H5" s="23">
        <f t="shared" ref="H5:H8" si="2">G5/3</f>
        <v>2.3333333333333335</v>
      </c>
      <c r="I5" s="1" t="s">
        <v>59</v>
      </c>
      <c r="J5" s="1" t="s">
        <v>59</v>
      </c>
      <c r="K5" s="1"/>
    </row>
    <row r="6" spans="1:11" x14ac:dyDescent="0.3">
      <c r="A6" s="1">
        <f t="shared" si="1"/>
        <v>3</v>
      </c>
      <c r="B6" s="1">
        <v>25010901003</v>
      </c>
      <c r="C6" s="1" t="s">
        <v>5</v>
      </c>
      <c r="D6" s="17">
        <v>6</v>
      </c>
      <c r="E6" s="17">
        <v>6</v>
      </c>
      <c r="F6" s="17"/>
      <c r="G6" s="17">
        <f t="shared" si="0"/>
        <v>12</v>
      </c>
      <c r="H6" s="23">
        <f t="shared" si="2"/>
        <v>4</v>
      </c>
      <c r="I6" s="1"/>
      <c r="J6" s="1"/>
      <c r="K6" s="1"/>
    </row>
    <row r="7" spans="1:11" x14ac:dyDescent="0.3">
      <c r="A7" s="1">
        <f t="shared" si="1"/>
        <v>4</v>
      </c>
      <c r="B7" s="1">
        <v>25010901004</v>
      </c>
      <c r="C7" s="1" t="s">
        <v>6</v>
      </c>
      <c r="D7" s="17">
        <v>3.75</v>
      </c>
      <c r="E7" s="17">
        <v>6.5</v>
      </c>
      <c r="F7" s="17"/>
      <c r="G7" s="17">
        <f t="shared" si="0"/>
        <v>10.25</v>
      </c>
      <c r="H7" s="23">
        <f t="shared" si="2"/>
        <v>3.4166666666666665</v>
      </c>
      <c r="I7" s="1" t="s">
        <v>59</v>
      </c>
      <c r="J7" s="1"/>
      <c r="K7" s="1"/>
    </row>
    <row r="8" spans="1:11" x14ac:dyDescent="0.3">
      <c r="A8" s="1">
        <f t="shared" si="1"/>
        <v>5</v>
      </c>
      <c r="B8" s="1">
        <v>25010901005</v>
      </c>
      <c r="C8" s="1" t="s">
        <v>7</v>
      </c>
      <c r="D8" s="26"/>
      <c r="E8" s="26"/>
      <c r="F8" s="17"/>
      <c r="G8" s="17">
        <f t="shared" si="0"/>
        <v>0</v>
      </c>
      <c r="H8" s="23">
        <f t="shared" si="2"/>
        <v>0</v>
      </c>
      <c r="I8" s="1" t="s">
        <v>56</v>
      </c>
      <c r="J8" s="1" t="s">
        <v>56</v>
      </c>
      <c r="K8" s="1"/>
    </row>
    <row r="9" spans="1:11" x14ac:dyDescent="0.3">
      <c r="A9" s="1">
        <f t="shared" si="1"/>
        <v>6</v>
      </c>
      <c r="B9" s="1">
        <v>25010901007</v>
      </c>
      <c r="C9" s="1" t="s">
        <v>8</v>
      </c>
      <c r="D9" s="17">
        <v>7.5</v>
      </c>
      <c r="E9" s="17">
        <v>7</v>
      </c>
      <c r="F9" s="17"/>
      <c r="G9" s="17">
        <f t="shared" si="0"/>
        <v>14.5</v>
      </c>
      <c r="H9" s="23">
        <f t="shared" ref="H9:H40" si="3">G9/3</f>
        <v>4.833333333333333</v>
      </c>
      <c r="I9" s="1"/>
      <c r="J9" s="1"/>
      <c r="K9" s="1"/>
    </row>
    <row r="10" spans="1:11" x14ac:dyDescent="0.3">
      <c r="A10" s="1">
        <f t="shared" si="1"/>
        <v>7</v>
      </c>
      <c r="B10" s="1">
        <v>25010901009</v>
      </c>
      <c r="C10" s="1" t="s">
        <v>9</v>
      </c>
      <c r="D10" s="26"/>
      <c r="E10" s="26"/>
      <c r="F10" s="17"/>
      <c r="G10" s="17">
        <f t="shared" si="0"/>
        <v>0</v>
      </c>
      <c r="H10" s="23">
        <f t="shared" si="3"/>
        <v>0</v>
      </c>
      <c r="I10" s="1" t="s">
        <v>56</v>
      </c>
      <c r="J10" s="1" t="s">
        <v>56</v>
      </c>
      <c r="K10" s="1"/>
    </row>
    <row r="11" spans="1:11" x14ac:dyDescent="0.3">
      <c r="A11" s="1">
        <f t="shared" si="1"/>
        <v>8</v>
      </c>
      <c r="B11" s="1">
        <v>25010901010</v>
      </c>
      <c r="C11" s="1" t="s">
        <v>10</v>
      </c>
      <c r="D11" s="17">
        <v>6.5</v>
      </c>
      <c r="E11" s="17">
        <v>7</v>
      </c>
      <c r="F11" s="17"/>
      <c r="G11" s="17">
        <f t="shared" si="0"/>
        <v>13.5</v>
      </c>
      <c r="H11" s="23">
        <f t="shared" si="3"/>
        <v>4.5</v>
      </c>
      <c r="I11" s="1"/>
      <c r="J11" s="1"/>
      <c r="K11" s="1"/>
    </row>
    <row r="12" spans="1:11" x14ac:dyDescent="0.3">
      <c r="A12" s="1">
        <f t="shared" si="1"/>
        <v>9</v>
      </c>
      <c r="B12" s="1">
        <v>25010901011</v>
      </c>
      <c r="C12" s="1" t="s">
        <v>11</v>
      </c>
      <c r="D12" s="17">
        <v>6.5</v>
      </c>
      <c r="E12" s="17">
        <v>7</v>
      </c>
      <c r="F12" s="17"/>
      <c r="G12" s="17">
        <f t="shared" si="0"/>
        <v>13.5</v>
      </c>
      <c r="H12" s="23">
        <f t="shared" si="3"/>
        <v>4.5</v>
      </c>
      <c r="I12" s="1"/>
      <c r="J12" s="1"/>
      <c r="K12" s="1"/>
    </row>
    <row r="13" spans="1:11" x14ac:dyDescent="0.3">
      <c r="A13" s="1">
        <f t="shared" si="1"/>
        <v>10</v>
      </c>
      <c r="B13" s="1">
        <v>25010901012</v>
      </c>
      <c r="C13" s="1" t="s">
        <v>12</v>
      </c>
      <c r="D13" s="17">
        <v>6.5</v>
      </c>
      <c r="E13" s="17">
        <v>6</v>
      </c>
      <c r="F13" s="17"/>
      <c r="G13" s="17">
        <f t="shared" si="0"/>
        <v>12.5</v>
      </c>
      <c r="H13" s="23">
        <f t="shared" si="3"/>
        <v>4.166666666666667</v>
      </c>
      <c r="I13" s="1"/>
      <c r="J13" s="1"/>
      <c r="K13" s="1"/>
    </row>
    <row r="14" spans="1:11" x14ac:dyDescent="0.3">
      <c r="A14" s="1">
        <f t="shared" si="1"/>
        <v>11</v>
      </c>
      <c r="B14" s="1">
        <v>25010901013</v>
      </c>
      <c r="C14" s="1" t="s">
        <v>13</v>
      </c>
      <c r="D14" s="17">
        <v>7</v>
      </c>
      <c r="E14" s="17">
        <v>6</v>
      </c>
      <c r="F14" s="17"/>
      <c r="G14" s="17">
        <f t="shared" si="0"/>
        <v>13</v>
      </c>
      <c r="H14" s="23">
        <f t="shared" si="3"/>
        <v>4.333333333333333</v>
      </c>
      <c r="I14" s="1"/>
      <c r="J14" s="1"/>
      <c r="K14" s="1"/>
    </row>
    <row r="15" spans="1:11" x14ac:dyDescent="0.3">
      <c r="A15" s="1">
        <f t="shared" si="1"/>
        <v>12</v>
      </c>
      <c r="B15" s="1">
        <v>25010901014</v>
      </c>
      <c r="C15" s="1" t="s">
        <v>14</v>
      </c>
      <c r="D15" s="17">
        <v>5</v>
      </c>
      <c r="E15" s="17">
        <v>6</v>
      </c>
      <c r="F15" s="17"/>
      <c r="G15" s="17">
        <f t="shared" si="0"/>
        <v>11</v>
      </c>
      <c r="H15" s="23">
        <f t="shared" si="3"/>
        <v>3.6666666666666665</v>
      </c>
      <c r="I15" s="1" t="s">
        <v>60</v>
      </c>
      <c r="J15" s="1"/>
      <c r="K15" s="1"/>
    </row>
    <row r="16" spans="1:11" x14ac:dyDescent="0.3">
      <c r="A16" s="1">
        <f t="shared" si="1"/>
        <v>13</v>
      </c>
      <c r="B16" s="1">
        <v>25010901015</v>
      </c>
      <c r="C16" s="1" t="s">
        <v>15</v>
      </c>
      <c r="D16" s="17">
        <v>7.5</v>
      </c>
      <c r="E16" s="17">
        <v>7.5</v>
      </c>
      <c r="F16" s="17"/>
      <c r="G16" s="17">
        <f t="shared" si="0"/>
        <v>15</v>
      </c>
      <c r="H16" s="23">
        <f t="shared" si="3"/>
        <v>5</v>
      </c>
      <c r="I16" s="1"/>
      <c r="J16" s="1"/>
      <c r="K16" s="1"/>
    </row>
    <row r="17" spans="1:11" x14ac:dyDescent="0.3">
      <c r="A17" s="1">
        <f t="shared" si="1"/>
        <v>14</v>
      </c>
      <c r="B17" s="1">
        <v>25010901017</v>
      </c>
      <c r="C17" s="1" t="s">
        <v>16</v>
      </c>
      <c r="D17" s="17">
        <v>5.5</v>
      </c>
      <c r="E17" s="17">
        <v>3.25</v>
      </c>
      <c r="F17" s="17"/>
      <c r="G17" s="17">
        <f t="shared" si="0"/>
        <v>8.75</v>
      </c>
      <c r="H17" s="23">
        <f t="shared" si="3"/>
        <v>2.9166666666666665</v>
      </c>
      <c r="I17" s="1" t="s">
        <v>60</v>
      </c>
      <c r="J17" s="1" t="s">
        <v>59</v>
      </c>
      <c r="K17" s="1"/>
    </row>
    <row r="18" spans="1:11" x14ac:dyDescent="0.3">
      <c r="A18" s="10">
        <f t="shared" si="1"/>
        <v>15</v>
      </c>
      <c r="B18" s="1">
        <v>25010901018</v>
      </c>
      <c r="C18" s="1" t="s">
        <v>17</v>
      </c>
      <c r="D18" s="17">
        <v>6.5</v>
      </c>
      <c r="E18" s="20">
        <v>6</v>
      </c>
      <c r="F18" s="17"/>
      <c r="G18" s="17">
        <f t="shared" si="0"/>
        <v>12.5</v>
      </c>
      <c r="H18" s="23">
        <f t="shared" si="3"/>
        <v>4.166666666666667</v>
      </c>
      <c r="I18" s="1"/>
      <c r="J18" s="1"/>
      <c r="K18" s="1"/>
    </row>
    <row r="19" spans="1:11" x14ac:dyDescent="0.3">
      <c r="A19" s="1">
        <f t="shared" si="1"/>
        <v>16</v>
      </c>
      <c r="B19" s="1">
        <v>25010901019</v>
      </c>
      <c r="C19" s="1" t="s">
        <v>18</v>
      </c>
      <c r="D19" s="17">
        <v>6.5</v>
      </c>
      <c r="E19" s="20">
        <v>6.5</v>
      </c>
      <c r="F19" s="17"/>
      <c r="G19" s="17">
        <f t="shared" si="0"/>
        <v>13</v>
      </c>
      <c r="H19" s="23">
        <f t="shared" si="3"/>
        <v>4.333333333333333</v>
      </c>
      <c r="I19" s="1"/>
      <c r="J19" s="1"/>
      <c r="K19" s="1"/>
    </row>
    <row r="20" spans="1:11" x14ac:dyDescent="0.3">
      <c r="A20" s="1">
        <f t="shared" si="1"/>
        <v>17</v>
      </c>
      <c r="B20" s="1">
        <v>25010901020</v>
      </c>
      <c r="C20" s="1" t="s">
        <v>19</v>
      </c>
      <c r="D20" s="17">
        <v>6</v>
      </c>
      <c r="E20" s="20">
        <v>5.5</v>
      </c>
      <c r="F20" s="17"/>
      <c r="G20" s="17">
        <f t="shared" si="0"/>
        <v>11.5</v>
      </c>
      <c r="H20" s="23">
        <f t="shared" si="3"/>
        <v>3.8333333333333335</v>
      </c>
      <c r="I20" s="1"/>
      <c r="J20" s="1"/>
      <c r="K20" s="1"/>
    </row>
    <row r="21" spans="1:11" x14ac:dyDescent="0.3">
      <c r="A21" s="1">
        <f t="shared" si="1"/>
        <v>18</v>
      </c>
      <c r="B21" s="1">
        <v>25010901021</v>
      </c>
      <c r="C21" s="1" t="s">
        <v>20</v>
      </c>
      <c r="D21" s="17">
        <v>6</v>
      </c>
      <c r="E21" s="17">
        <v>7</v>
      </c>
      <c r="F21" s="17"/>
      <c r="G21" s="17">
        <f t="shared" si="0"/>
        <v>13</v>
      </c>
      <c r="H21" s="23">
        <f t="shared" si="3"/>
        <v>4.333333333333333</v>
      </c>
      <c r="I21" s="1"/>
      <c r="J21" s="1"/>
      <c r="K21" s="1"/>
    </row>
    <row r="22" spans="1:11" x14ac:dyDescent="0.3">
      <c r="A22" s="1">
        <f t="shared" si="1"/>
        <v>19</v>
      </c>
      <c r="B22" s="1">
        <v>25010901022</v>
      </c>
      <c r="C22" s="1" t="s">
        <v>21</v>
      </c>
      <c r="D22" s="17">
        <v>6.5</v>
      </c>
      <c r="E22" s="26"/>
      <c r="F22" s="17"/>
      <c r="G22" s="17">
        <f t="shared" si="0"/>
        <v>6.5</v>
      </c>
      <c r="H22" s="23">
        <f t="shared" si="3"/>
        <v>2.1666666666666665</v>
      </c>
      <c r="I22" s="1"/>
      <c r="J22" s="1" t="s">
        <v>56</v>
      </c>
      <c r="K22" s="1"/>
    </row>
    <row r="23" spans="1:11" x14ac:dyDescent="0.3">
      <c r="A23" s="1">
        <f t="shared" si="1"/>
        <v>20</v>
      </c>
      <c r="B23" s="1">
        <v>25010901023</v>
      </c>
      <c r="C23" s="1" t="s">
        <v>22</v>
      </c>
      <c r="D23" s="17">
        <v>7</v>
      </c>
      <c r="E23" s="17">
        <v>7</v>
      </c>
      <c r="F23" s="17"/>
      <c r="G23" s="17">
        <f t="shared" si="0"/>
        <v>14</v>
      </c>
      <c r="H23" s="23">
        <f t="shared" si="3"/>
        <v>4.666666666666667</v>
      </c>
      <c r="I23" s="1"/>
      <c r="J23" s="1"/>
      <c r="K23" s="1"/>
    </row>
    <row r="24" spans="1:11" x14ac:dyDescent="0.3">
      <c r="A24" s="1">
        <f t="shared" si="1"/>
        <v>21</v>
      </c>
      <c r="B24" s="1">
        <v>25010901024</v>
      </c>
      <c r="C24" s="1" t="s">
        <v>23</v>
      </c>
      <c r="D24" s="17">
        <v>6.5</v>
      </c>
      <c r="E24" s="17">
        <v>6.5</v>
      </c>
      <c r="F24" s="17"/>
      <c r="G24" s="17">
        <f t="shared" si="0"/>
        <v>13</v>
      </c>
      <c r="H24" s="23">
        <f t="shared" si="3"/>
        <v>4.333333333333333</v>
      </c>
      <c r="I24" s="1"/>
      <c r="J24" s="1"/>
      <c r="K24" s="1"/>
    </row>
    <row r="25" spans="1:11" x14ac:dyDescent="0.3">
      <c r="A25" s="1">
        <f t="shared" si="1"/>
        <v>22</v>
      </c>
      <c r="B25" s="1">
        <v>25010901025</v>
      </c>
      <c r="C25" s="1" t="s">
        <v>24</v>
      </c>
      <c r="D25" s="17">
        <v>6</v>
      </c>
      <c r="E25" s="17">
        <v>3.5</v>
      </c>
      <c r="F25" s="17"/>
      <c r="G25" s="17">
        <f t="shared" si="0"/>
        <v>9.5</v>
      </c>
      <c r="H25" s="23">
        <f t="shared" si="3"/>
        <v>3.1666666666666665</v>
      </c>
      <c r="I25" s="1"/>
      <c r="J25" s="1" t="s">
        <v>59</v>
      </c>
      <c r="K25" s="1"/>
    </row>
    <row r="26" spans="1:11" x14ac:dyDescent="0.3">
      <c r="A26" s="1">
        <f t="shared" si="1"/>
        <v>23</v>
      </c>
      <c r="B26" s="1">
        <v>25010901026</v>
      </c>
      <c r="C26" s="1" t="s">
        <v>25</v>
      </c>
      <c r="D26" s="17">
        <v>7.5</v>
      </c>
      <c r="E26" s="17">
        <v>7</v>
      </c>
      <c r="F26" s="17"/>
      <c r="G26" s="17">
        <f t="shared" si="0"/>
        <v>14.5</v>
      </c>
      <c r="H26" s="23">
        <f t="shared" si="3"/>
        <v>4.833333333333333</v>
      </c>
      <c r="I26" s="1"/>
      <c r="J26" s="1"/>
      <c r="K26" s="1"/>
    </row>
    <row r="27" spans="1:11" x14ac:dyDescent="0.3">
      <c r="A27" s="1">
        <f t="shared" si="1"/>
        <v>24</v>
      </c>
      <c r="B27" s="1">
        <v>25010901027</v>
      </c>
      <c r="C27" s="1" t="s">
        <v>26</v>
      </c>
      <c r="D27" s="20">
        <v>6</v>
      </c>
      <c r="E27" s="20">
        <v>6</v>
      </c>
      <c r="F27" s="17"/>
      <c r="G27" s="17">
        <f t="shared" si="0"/>
        <v>12</v>
      </c>
      <c r="H27" s="23">
        <f t="shared" si="3"/>
        <v>4</v>
      </c>
      <c r="I27" s="1"/>
      <c r="J27" s="1"/>
      <c r="K27" s="1"/>
    </row>
    <row r="28" spans="1:11" x14ac:dyDescent="0.3">
      <c r="A28" s="10">
        <f t="shared" si="1"/>
        <v>25</v>
      </c>
      <c r="B28" s="1">
        <v>25010901029</v>
      </c>
      <c r="C28" s="1" t="s">
        <v>27</v>
      </c>
      <c r="D28" s="17">
        <v>7</v>
      </c>
      <c r="E28" s="17">
        <v>7</v>
      </c>
      <c r="F28" s="17"/>
      <c r="G28" s="17">
        <f t="shared" si="0"/>
        <v>14</v>
      </c>
      <c r="H28" s="23">
        <f t="shared" si="3"/>
        <v>4.666666666666667</v>
      </c>
      <c r="I28" s="1"/>
      <c r="J28" s="1"/>
      <c r="K28" s="1"/>
    </row>
    <row r="29" spans="1:11" x14ac:dyDescent="0.3">
      <c r="A29" s="1">
        <f t="shared" si="1"/>
        <v>26</v>
      </c>
      <c r="B29" s="1">
        <v>25010901030</v>
      </c>
      <c r="C29" s="1" t="s">
        <v>28</v>
      </c>
      <c r="D29" s="17">
        <v>7</v>
      </c>
      <c r="E29" s="17">
        <v>7</v>
      </c>
      <c r="F29" s="17"/>
      <c r="G29" s="17">
        <f t="shared" si="0"/>
        <v>14</v>
      </c>
      <c r="H29" s="23">
        <f t="shared" si="3"/>
        <v>4.666666666666667</v>
      </c>
      <c r="I29" s="1"/>
      <c r="J29" s="1"/>
      <c r="K29" s="1"/>
    </row>
    <row r="30" spans="1:11" x14ac:dyDescent="0.3">
      <c r="A30" s="1">
        <f t="shared" si="1"/>
        <v>27</v>
      </c>
      <c r="B30" s="1">
        <v>25010901031</v>
      </c>
      <c r="C30" s="1" t="s">
        <v>29</v>
      </c>
      <c r="D30" s="17">
        <v>7</v>
      </c>
      <c r="E30" s="17">
        <v>7</v>
      </c>
      <c r="F30" s="17"/>
      <c r="G30" s="17">
        <f t="shared" si="0"/>
        <v>14</v>
      </c>
      <c r="H30" s="23">
        <f t="shared" si="3"/>
        <v>4.666666666666667</v>
      </c>
      <c r="I30" s="1"/>
      <c r="J30" s="1"/>
      <c r="K30" s="1"/>
    </row>
    <row r="31" spans="1:11" x14ac:dyDescent="0.3">
      <c r="A31" s="1">
        <f t="shared" si="1"/>
        <v>28</v>
      </c>
      <c r="B31" s="1">
        <v>25010901032</v>
      </c>
      <c r="C31" s="1" t="s">
        <v>30</v>
      </c>
      <c r="D31" s="17">
        <v>7</v>
      </c>
      <c r="E31" s="17">
        <v>7</v>
      </c>
      <c r="F31" s="17"/>
      <c r="G31" s="17">
        <f t="shared" si="0"/>
        <v>14</v>
      </c>
      <c r="H31" s="23">
        <f t="shared" si="3"/>
        <v>4.666666666666667</v>
      </c>
      <c r="I31" s="1"/>
      <c r="J31" s="1"/>
      <c r="K31" s="1"/>
    </row>
    <row r="32" spans="1:11" x14ac:dyDescent="0.3">
      <c r="A32" s="1">
        <f t="shared" si="1"/>
        <v>29</v>
      </c>
      <c r="B32" s="1">
        <v>25010901033</v>
      </c>
      <c r="C32" s="1" t="s">
        <v>31</v>
      </c>
      <c r="D32" s="1">
        <v>6.5</v>
      </c>
      <c r="E32" s="1">
        <v>7</v>
      </c>
      <c r="F32" s="1"/>
      <c r="G32" s="17">
        <f t="shared" si="0"/>
        <v>13.5</v>
      </c>
      <c r="H32" s="23">
        <f t="shared" si="3"/>
        <v>4.5</v>
      </c>
      <c r="I32" s="1"/>
      <c r="J32" s="1"/>
      <c r="K32" s="1"/>
    </row>
    <row r="33" spans="1:11" x14ac:dyDescent="0.3">
      <c r="A33" s="1">
        <f t="shared" si="1"/>
        <v>30</v>
      </c>
      <c r="B33" s="1">
        <v>25010901034</v>
      </c>
      <c r="C33" s="1" t="s">
        <v>32</v>
      </c>
      <c r="D33" s="1">
        <v>7</v>
      </c>
      <c r="E33" s="1">
        <v>7</v>
      </c>
      <c r="F33" s="1"/>
      <c r="G33" s="17">
        <f t="shared" si="0"/>
        <v>14</v>
      </c>
      <c r="H33" s="23">
        <f t="shared" si="3"/>
        <v>4.666666666666667</v>
      </c>
      <c r="I33" s="1"/>
      <c r="J33" s="1"/>
      <c r="K33" s="1"/>
    </row>
    <row r="34" spans="1:11" x14ac:dyDescent="0.3">
      <c r="A34" s="1">
        <f t="shared" si="1"/>
        <v>31</v>
      </c>
      <c r="B34" s="1">
        <v>25010901035</v>
      </c>
      <c r="C34" s="1" t="s">
        <v>33</v>
      </c>
      <c r="D34" s="1">
        <v>7</v>
      </c>
      <c r="E34" s="1">
        <v>7.5</v>
      </c>
      <c r="F34" s="1"/>
      <c r="G34" s="17">
        <f t="shared" si="0"/>
        <v>14.5</v>
      </c>
      <c r="H34" s="23">
        <f t="shared" si="3"/>
        <v>4.833333333333333</v>
      </c>
      <c r="I34" s="1"/>
      <c r="J34" s="1"/>
      <c r="K34" s="1"/>
    </row>
    <row r="35" spans="1:11" x14ac:dyDescent="0.3">
      <c r="A35" s="1">
        <f t="shared" si="1"/>
        <v>32</v>
      </c>
      <c r="B35" s="1">
        <v>25010901036</v>
      </c>
      <c r="C35" s="1" t="s">
        <v>34</v>
      </c>
      <c r="D35" s="1">
        <v>3.75</v>
      </c>
      <c r="E35" s="1">
        <v>6.5</v>
      </c>
      <c r="F35" s="1"/>
      <c r="G35" s="17">
        <f t="shared" si="0"/>
        <v>10.25</v>
      </c>
      <c r="H35" s="23">
        <f t="shared" si="3"/>
        <v>3.4166666666666665</v>
      </c>
      <c r="I35" s="1" t="s">
        <v>59</v>
      </c>
      <c r="J35" s="1"/>
      <c r="K35" s="1"/>
    </row>
    <row r="36" spans="1:11" x14ac:dyDescent="0.3">
      <c r="A36" s="1">
        <f t="shared" si="1"/>
        <v>33</v>
      </c>
      <c r="B36" s="1">
        <v>25010901037</v>
      </c>
      <c r="C36" s="1" t="s">
        <v>35</v>
      </c>
      <c r="D36" s="1">
        <v>6.5</v>
      </c>
      <c r="E36" s="1">
        <v>7</v>
      </c>
      <c r="F36" s="1"/>
      <c r="G36" s="17">
        <f t="shared" si="0"/>
        <v>13.5</v>
      </c>
      <c r="H36" s="23">
        <f t="shared" si="3"/>
        <v>4.5</v>
      </c>
      <c r="I36" s="1"/>
      <c r="J36" s="1"/>
      <c r="K36" s="1"/>
    </row>
    <row r="37" spans="1:11" x14ac:dyDescent="0.3">
      <c r="A37" s="1">
        <f t="shared" si="1"/>
        <v>34</v>
      </c>
      <c r="B37" s="1">
        <v>25010901038</v>
      </c>
      <c r="C37" s="1" t="s">
        <v>36</v>
      </c>
      <c r="D37" s="1">
        <v>6.5</v>
      </c>
      <c r="E37" s="1">
        <v>6.5</v>
      </c>
      <c r="F37" s="1"/>
      <c r="G37" s="17">
        <f t="shared" si="0"/>
        <v>13</v>
      </c>
      <c r="H37" s="23">
        <f t="shared" si="3"/>
        <v>4.333333333333333</v>
      </c>
      <c r="I37" s="1"/>
      <c r="J37" s="1"/>
      <c r="K37" s="1"/>
    </row>
    <row r="38" spans="1:11" x14ac:dyDescent="0.3">
      <c r="A38" s="1">
        <f t="shared" si="1"/>
        <v>35</v>
      </c>
      <c r="B38" s="1">
        <v>25010901039</v>
      </c>
      <c r="C38" s="1" t="s">
        <v>37</v>
      </c>
      <c r="D38" s="25"/>
      <c r="E38" s="25"/>
      <c r="F38" s="1"/>
      <c r="G38" s="17">
        <f t="shared" si="0"/>
        <v>0</v>
      </c>
      <c r="H38" s="23">
        <f t="shared" si="3"/>
        <v>0</v>
      </c>
      <c r="I38" s="1" t="s">
        <v>56</v>
      </c>
      <c r="J38" s="1" t="s">
        <v>56</v>
      </c>
      <c r="K38" s="1"/>
    </row>
    <row r="39" spans="1:11" x14ac:dyDescent="0.3">
      <c r="A39" s="1">
        <f t="shared" si="1"/>
        <v>36</v>
      </c>
      <c r="B39" s="1">
        <v>24010901023</v>
      </c>
      <c r="C39" s="1" t="s">
        <v>44</v>
      </c>
      <c r="D39" s="21">
        <v>6</v>
      </c>
      <c r="E39" s="21">
        <v>3.5</v>
      </c>
      <c r="F39" s="1"/>
      <c r="G39" s="17">
        <f t="shared" si="0"/>
        <v>9.5</v>
      </c>
      <c r="H39" s="23">
        <f t="shared" si="3"/>
        <v>3.1666666666666665</v>
      </c>
      <c r="I39" s="1"/>
      <c r="J39" s="1" t="s">
        <v>59</v>
      </c>
      <c r="K39" s="1"/>
    </row>
    <row r="40" spans="1:11" x14ac:dyDescent="0.3">
      <c r="A40" s="1">
        <f t="shared" si="1"/>
        <v>37</v>
      </c>
      <c r="B40" s="1">
        <v>24010901033</v>
      </c>
      <c r="C40" s="1" t="s">
        <v>38</v>
      </c>
      <c r="D40" s="1">
        <v>6.5</v>
      </c>
      <c r="E40" s="1">
        <v>3.5</v>
      </c>
      <c r="F40" s="1"/>
      <c r="G40" s="17">
        <f t="shared" si="0"/>
        <v>10</v>
      </c>
      <c r="H40" s="23">
        <f t="shared" si="3"/>
        <v>3.3333333333333335</v>
      </c>
      <c r="I40" s="1"/>
      <c r="J40" s="1" t="s">
        <v>59</v>
      </c>
      <c r="K40" s="1"/>
    </row>
  </sheetData>
  <autoFilter ref="A3:H3" xr:uid="{2CB2915B-7E74-40B0-9D48-A1940F1D0007}"/>
  <mergeCells count="5">
    <mergeCell ref="A1:B1"/>
    <mergeCell ref="G1:H2"/>
    <mergeCell ref="I1:I3"/>
    <mergeCell ref="J1:J3"/>
    <mergeCell ref="K1:K3"/>
  </mergeCells>
  <printOptions horizontalCentered="1"/>
  <pageMargins left="0.25" right="0.25" top="0.5" bottom="0.5" header="0.3" footer="0.3"/>
  <pageSetup paperSize="9" scale="5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A7C06-C1C4-4F85-AAC7-96941168A43E}">
  <sheetPr>
    <pageSetUpPr fitToPage="1"/>
  </sheetPr>
  <dimension ref="A1:D40"/>
  <sheetViews>
    <sheetView zoomScale="11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8" sqref="F8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16384" width="20.77734375" style="7"/>
  </cols>
  <sheetData>
    <row r="1" spans="1:4" x14ac:dyDescent="0.3">
      <c r="A1" s="27" t="s">
        <v>42</v>
      </c>
      <c r="B1" s="27"/>
      <c r="C1" s="3" t="s">
        <v>39</v>
      </c>
      <c r="D1" s="12"/>
    </row>
    <row r="2" spans="1:4" x14ac:dyDescent="0.3">
      <c r="A2" s="3" t="s">
        <v>40</v>
      </c>
      <c r="B2" s="3">
        <f>COUNT(A4:A40)</f>
        <v>37</v>
      </c>
      <c r="C2" s="3" t="s">
        <v>65</v>
      </c>
      <c r="D2" s="12" t="s">
        <v>64</v>
      </c>
    </row>
    <row r="3" spans="1:4" s="9" customFormat="1" x14ac:dyDescent="0.3">
      <c r="A3" s="2" t="s">
        <v>0</v>
      </c>
      <c r="B3" s="2" t="s">
        <v>1</v>
      </c>
      <c r="C3" s="2" t="s">
        <v>2</v>
      </c>
      <c r="D3" s="18">
        <v>15</v>
      </c>
    </row>
    <row r="4" spans="1:4" x14ac:dyDescent="0.3">
      <c r="A4" s="1">
        <v>1</v>
      </c>
      <c r="B4" s="1">
        <v>25010901001</v>
      </c>
      <c r="C4" s="1" t="s">
        <v>3</v>
      </c>
      <c r="D4" s="20"/>
    </row>
    <row r="5" spans="1:4" x14ac:dyDescent="0.3">
      <c r="A5" s="1">
        <f t="shared" ref="A5:A40" si="0">A4+1</f>
        <v>2</v>
      </c>
      <c r="B5" s="1">
        <v>25010901002</v>
      </c>
      <c r="C5" s="1" t="s">
        <v>4</v>
      </c>
      <c r="D5" s="20"/>
    </row>
    <row r="6" spans="1:4" x14ac:dyDescent="0.3">
      <c r="A6" s="1">
        <f t="shared" si="0"/>
        <v>3</v>
      </c>
      <c r="B6" s="1">
        <v>25010901003</v>
      </c>
      <c r="C6" s="1" t="s">
        <v>5</v>
      </c>
      <c r="D6" s="20"/>
    </row>
    <row r="7" spans="1:4" x14ac:dyDescent="0.3">
      <c r="A7" s="1">
        <f t="shared" si="0"/>
        <v>4</v>
      </c>
      <c r="B7" s="1">
        <v>25010901004</v>
      </c>
      <c r="C7" s="1" t="s">
        <v>6</v>
      </c>
      <c r="D7" s="20"/>
    </row>
    <row r="8" spans="1:4" x14ac:dyDescent="0.3">
      <c r="A8" s="1">
        <f t="shared" si="0"/>
        <v>5</v>
      </c>
      <c r="B8" s="1">
        <v>25010901005</v>
      </c>
      <c r="C8" s="1" t="s">
        <v>7</v>
      </c>
      <c r="D8" s="20"/>
    </row>
    <row r="9" spans="1:4" x14ac:dyDescent="0.3">
      <c r="A9" s="1">
        <f t="shared" si="0"/>
        <v>6</v>
      </c>
      <c r="B9" s="1">
        <v>25010901007</v>
      </c>
      <c r="C9" s="1" t="s">
        <v>8</v>
      </c>
      <c r="D9" s="20"/>
    </row>
    <row r="10" spans="1:4" x14ac:dyDescent="0.3">
      <c r="A10" s="1">
        <f t="shared" si="0"/>
        <v>7</v>
      </c>
      <c r="B10" s="1">
        <v>25010901009</v>
      </c>
      <c r="C10" s="1" t="s">
        <v>9</v>
      </c>
      <c r="D10" s="20"/>
    </row>
    <row r="11" spans="1:4" x14ac:dyDescent="0.3">
      <c r="A11" s="1">
        <f t="shared" si="0"/>
        <v>8</v>
      </c>
      <c r="B11" s="1">
        <v>25010901010</v>
      </c>
      <c r="C11" s="1" t="s">
        <v>10</v>
      </c>
      <c r="D11" s="20"/>
    </row>
    <row r="12" spans="1:4" x14ac:dyDescent="0.3">
      <c r="A12" s="1">
        <f t="shared" si="0"/>
        <v>9</v>
      </c>
      <c r="B12" s="1">
        <v>25010901011</v>
      </c>
      <c r="C12" s="1" t="s">
        <v>11</v>
      </c>
      <c r="D12" s="20"/>
    </row>
    <row r="13" spans="1:4" x14ac:dyDescent="0.3">
      <c r="A13" s="1">
        <f t="shared" si="0"/>
        <v>10</v>
      </c>
      <c r="B13" s="1">
        <v>25010901012</v>
      </c>
      <c r="C13" s="1" t="s">
        <v>12</v>
      </c>
      <c r="D13" s="20"/>
    </row>
    <row r="14" spans="1:4" x14ac:dyDescent="0.3">
      <c r="A14" s="1">
        <f t="shared" si="0"/>
        <v>11</v>
      </c>
      <c r="B14" s="1">
        <v>25010901013</v>
      </c>
      <c r="C14" s="1" t="s">
        <v>13</v>
      </c>
      <c r="D14" s="20"/>
    </row>
    <row r="15" spans="1:4" x14ac:dyDescent="0.3">
      <c r="A15" s="1">
        <f t="shared" si="0"/>
        <v>12</v>
      </c>
      <c r="B15" s="1">
        <v>25010901014</v>
      </c>
      <c r="C15" s="1" t="s">
        <v>14</v>
      </c>
      <c r="D15" s="20"/>
    </row>
    <row r="16" spans="1:4" x14ac:dyDescent="0.3">
      <c r="A16" s="1">
        <f t="shared" si="0"/>
        <v>13</v>
      </c>
      <c r="B16" s="1">
        <v>25010901015</v>
      </c>
      <c r="C16" s="1" t="s">
        <v>15</v>
      </c>
      <c r="D16" s="20"/>
    </row>
    <row r="17" spans="1:4" x14ac:dyDescent="0.3">
      <c r="A17" s="1">
        <f t="shared" si="0"/>
        <v>14</v>
      </c>
      <c r="B17" s="1">
        <v>25010901017</v>
      </c>
      <c r="C17" s="1" t="s">
        <v>16</v>
      </c>
      <c r="D17" s="20"/>
    </row>
    <row r="18" spans="1:4" x14ac:dyDescent="0.3">
      <c r="A18" s="10">
        <f t="shared" si="0"/>
        <v>15</v>
      </c>
      <c r="B18" s="1">
        <v>25010901018</v>
      </c>
      <c r="C18" s="1" t="s">
        <v>17</v>
      </c>
      <c r="D18" s="20"/>
    </row>
    <row r="19" spans="1:4" x14ac:dyDescent="0.3">
      <c r="A19" s="1">
        <f t="shared" si="0"/>
        <v>16</v>
      </c>
      <c r="B19" s="1">
        <v>25010901019</v>
      </c>
      <c r="C19" s="1" t="s">
        <v>18</v>
      </c>
      <c r="D19" s="20"/>
    </row>
    <row r="20" spans="1:4" x14ac:dyDescent="0.3">
      <c r="A20" s="1">
        <f t="shared" si="0"/>
        <v>17</v>
      </c>
      <c r="B20" s="1">
        <v>25010901020</v>
      </c>
      <c r="C20" s="1" t="s">
        <v>19</v>
      </c>
      <c r="D20" s="20"/>
    </row>
    <row r="21" spans="1:4" x14ac:dyDescent="0.3">
      <c r="A21" s="1">
        <f t="shared" si="0"/>
        <v>18</v>
      </c>
      <c r="B21" s="1">
        <v>25010901021</v>
      </c>
      <c r="C21" s="1" t="s">
        <v>20</v>
      </c>
      <c r="D21" s="20"/>
    </row>
    <row r="22" spans="1:4" x14ac:dyDescent="0.3">
      <c r="A22" s="1">
        <f t="shared" si="0"/>
        <v>19</v>
      </c>
      <c r="B22" s="1">
        <v>25010901022</v>
      </c>
      <c r="C22" s="1" t="s">
        <v>21</v>
      </c>
      <c r="D22" s="20"/>
    </row>
    <row r="23" spans="1:4" x14ac:dyDescent="0.3">
      <c r="A23" s="1">
        <f t="shared" si="0"/>
        <v>20</v>
      </c>
      <c r="B23" s="1">
        <v>25010901023</v>
      </c>
      <c r="C23" s="1" t="s">
        <v>22</v>
      </c>
      <c r="D23" s="20"/>
    </row>
    <row r="24" spans="1:4" x14ac:dyDescent="0.3">
      <c r="A24" s="1">
        <f t="shared" si="0"/>
        <v>21</v>
      </c>
      <c r="B24" s="1">
        <v>25010901024</v>
      </c>
      <c r="C24" s="1" t="s">
        <v>23</v>
      </c>
      <c r="D24" s="20"/>
    </row>
    <row r="25" spans="1:4" x14ac:dyDescent="0.3">
      <c r="A25" s="1">
        <f t="shared" si="0"/>
        <v>22</v>
      </c>
      <c r="B25" s="1">
        <v>25010901025</v>
      </c>
      <c r="C25" s="1" t="s">
        <v>24</v>
      </c>
      <c r="D25" s="20"/>
    </row>
    <row r="26" spans="1:4" x14ac:dyDescent="0.3">
      <c r="A26" s="1">
        <f t="shared" si="0"/>
        <v>23</v>
      </c>
      <c r="B26" s="1">
        <v>25010901026</v>
      </c>
      <c r="C26" s="1" t="s">
        <v>25</v>
      </c>
      <c r="D26" s="20"/>
    </row>
    <row r="27" spans="1:4" x14ac:dyDescent="0.3">
      <c r="A27" s="1">
        <f t="shared" si="0"/>
        <v>24</v>
      </c>
      <c r="B27" s="1">
        <v>25010901027</v>
      </c>
      <c r="C27" s="1" t="s">
        <v>26</v>
      </c>
      <c r="D27" s="20"/>
    </row>
    <row r="28" spans="1:4" x14ac:dyDescent="0.3">
      <c r="A28" s="10">
        <f t="shared" si="0"/>
        <v>25</v>
      </c>
      <c r="B28" s="1">
        <v>25010901029</v>
      </c>
      <c r="C28" s="1" t="s">
        <v>27</v>
      </c>
      <c r="D28" s="20"/>
    </row>
    <row r="29" spans="1:4" x14ac:dyDescent="0.3">
      <c r="A29" s="1">
        <f t="shared" si="0"/>
        <v>26</v>
      </c>
      <c r="B29" s="1">
        <v>25010901030</v>
      </c>
      <c r="C29" s="1" t="s">
        <v>28</v>
      </c>
      <c r="D29" s="20"/>
    </row>
    <row r="30" spans="1:4" x14ac:dyDescent="0.3">
      <c r="A30" s="1">
        <f t="shared" si="0"/>
        <v>27</v>
      </c>
      <c r="B30" s="1">
        <v>25010901031</v>
      </c>
      <c r="C30" s="1" t="s">
        <v>29</v>
      </c>
      <c r="D30" s="20"/>
    </row>
    <row r="31" spans="1:4" x14ac:dyDescent="0.3">
      <c r="A31" s="1">
        <f t="shared" si="0"/>
        <v>28</v>
      </c>
      <c r="B31" s="1">
        <v>25010901032</v>
      </c>
      <c r="C31" s="1" t="s">
        <v>30</v>
      </c>
      <c r="D31" s="20"/>
    </row>
    <row r="32" spans="1:4" x14ac:dyDescent="0.3">
      <c r="A32" s="1">
        <f t="shared" si="0"/>
        <v>29</v>
      </c>
      <c r="B32" s="1">
        <v>25010901033</v>
      </c>
      <c r="C32" s="1" t="s">
        <v>31</v>
      </c>
      <c r="D32" s="21"/>
    </row>
    <row r="33" spans="1:4" x14ac:dyDescent="0.3">
      <c r="A33" s="1">
        <f t="shared" si="0"/>
        <v>30</v>
      </c>
      <c r="B33" s="1">
        <v>25010901034</v>
      </c>
      <c r="C33" s="1" t="s">
        <v>32</v>
      </c>
      <c r="D33" s="21"/>
    </row>
    <row r="34" spans="1:4" x14ac:dyDescent="0.3">
      <c r="A34" s="1">
        <f t="shared" si="0"/>
        <v>31</v>
      </c>
      <c r="B34" s="1">
        <v>25010901035</v>
      </c>
      <c r="C34" s="1" t="s">
        <v>33</v>
      </c>
      <c r="D34" s="21"/>
    </row>
    <row r="35" spans="1:4" x14ac:dyDescent="0.3">
      <c r="A35" s="1">
        <f t="shared" si="0"/>
        <v>32</v>
      </c>
      <c r="B35" s="1">
        <v>25010901036</v>
      </c>
      <c r="C35" s="1" t="s">
        <v>34</v>
      </c>
      <c r="D35" s="21"/>
    </row>
    <row r="36" spans="1:4" x14ac:dyDescent="0.3">
      <c r="A36" s="1">
        <f t="shared" si="0"/>
        <v>33</v>
      </c>
      <c r="B36" s="1">
        <v>25010901037</v>
      </c>
      <c r="C36" s="1" t="s">
        <v>35</v>
      </c>
      <c r="D36" s="21"/>
    </row>
    <row r="37" spans="1:4" x14ac:dyDescent="0.3">
      <c r="A37" s="1">
        <f t="shared" si="0"/>
        <v>34</v>
      </c>
      <c r="B37" s="1">
        <v>25010901038</v>
      </c>
      <c r="C37" s="1" t="s">
        <v>36</v>
      </c>
      <c r="D37" s="21"/>
    </row>
    <row r="38" spans="1:4" x14ac:dyDescent="0.3">
      <c r="A38" s="1">
        <f t="shared" si="0"/>
        <v>35</v>
      </c>
      <c r="B38" s="1">
        <v>25010901039</v>
      </c>
      <c r="C38" s="1" t="s">
        <v>37</v>
      </c>
      <c r="D38" s="21"/>
    </row>
    <row r="39" spans="1:4" x14ac:dyDescent="0.3">
      <c r="A39" s="1">
        <f t="shared" si="0"/>
        <v>36</v>
      </c>
      <c r="B39" s="1">
        <v>24010901023</v>
      </c>
      <c r="C39" s="1" t="s">
        <v>44</v>
      </c>
      <c r="D39" s="21"/>
    </row>
    <row r="40" spans="1:4" x14ac:dyDescent="0.3">
      <c r="A40" s="1">
        <f t="shared" si="0"/>
        <v>37</v>
      </c>
      <c r="B40" s="1">
        <v>24010901033</v>
      </c>
      <c r="C40" s="1" t="s">
        <v>38</v>
      </c>
      <c r="D40" s="21"/>
    </row>
  </sheetData>
  <autoFilter ref="A3:D3" xr:uid="{2CB2915B-7E74-40B0-9D48-A1940F1D0007}"/>
  <mergeCells count="1">
    <mergeCell ref="A1:B1"/>
  </mergeCells>
  <printOptions horizontalCentered="1"/>
  <pageMargins left="0.25" right="0.25" top="0.5" bottom="0.5" header="0.3" footer="0.3"/>
  <pageSetup paperSize="9" scale="5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B2B6-E7E2-42B8-822F-A3E3956A3253}">
  <sheetPr>
    <pageSetUpPr fitToPage="1"/>
  </sheetPr>
  <dimension ref="A1:G40"/>
  <sheetViews>
    <sheetView zoomScale="11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C3" sqref="C3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3.44140625" style="7" customWidth="1"/>
    <col min="5" max="5" width="20.33203125" style="7" customWidth="1"/>
    <col min="6" max="6" width="19" style="7" customWidth="1"/>
    <col min="7" max="7" width="21.109375" style="7" customWidth="1"/>
    <col min="8" max="16384" width="20.77734375" style="7"/>
  </cols>
  <sheetData>
    <row r="1" spans="1:7" x14ac:dyDescent="0.3">
      <c r="A1" s="27" t="s">
        <v>42</v>
      </c>
      <c r="B1" s="27"/>
      <c r="C1" s="3" t="s">
        <v>39</v>
      </c>
      <c r="D1" s="12"/>
      <c r="E1" s="12"/>
      <c r="F1" s="12"/>
      <c r="G1" s="12"/>
    </row>
    <row r="2" spans="1:7" x14ac:dyDescent="0.3">
      <c r="A2" s="3" t="s">
        <v>40</v>
      </c>
      <c r="B2" s="3">
        <f>COUNT(A4:A40)</f>
        <v>37</v>
      </c>
      <c r="C2" s="3" t="s">
        <v>66</v>
      </c>
      <c r="D2" s="12" t="s">
        <v>62</v>
      </c>
      <c r="E2" s="12" t="s">
        <v>63</v>
      </c>
      <c r="F2" s="12" t="s">
        <v>64</v>
      </c>
      <c r="G2" s="12" t="s">
        <v>49</v>
      </c>
    </row>
    <row r="3" spans="1:7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15</v>
      </c>
      <c r="G3" s="18">
        <f>SUM(D3:F3)</f>
        <v>30</v>
      </c>
    </row>
    <row r="4" spans="1:7" x14ac:dyDescent="0.3">
      <c r="A4" s="1">
        <v>1</v>
      </c>
      <c r="B4" s="1">
        <v>25010901001</v>
      </c>
      <c r="C4" s="1" t="s">
        <v>3</v>
      </c>
      <c r="D4" s="20">
        <f>_xlfn.XLOOKUP(B4,'DCE 2-1 Attendance'!$B$4:$B$40,'DCE 2-1 Attendance'!$E$4:$E$40)</f>
        <v>6</v>
      </c>
      <c r="E4" s="33">
        <f>_xlfn.XLOOKUP(B4,Assignment!$B$4:$B$40,Assignment!$H$4:$H$40)</f>
        <v>4.166666666666667</v>
      </c>
      <c r="F4" s="20">
        <f>_xlfn.XLOOKUP(B4,'Class Test'!$B$4:$B$40,'Class Test'!$D$4:$D$40)</f>
        <v>0</v>
      </c>
      <c r="G4" s="34">
        <f>CEILING(SUM(D4:F4),0.5)</f>
        <v>10.5</v>
      </c>
    </row>
    <row r="5" spans="1:7" x14ac:dyDescent="0.3">
      <c r="A5" s="1">
        <f t="shared" ref="A5:A40" si="0">A4+1</f>
        <v>2</v>
      </c>
      <c r="B5" s="1">
        <v>25010901002</v>
      </c>
      <c r="C5" s="1" t="s">
        <v>4</v>
      </c>
      <c r="D5" s="20">
        <f>_xlfn.XLOOKUP(B5,'DCE 2-1 Attendance'!$B$4:$B$40,'DCE 2-1 Attendance'!$E$4:$E$40)</f>
        <v>6</v>
      </c>
      <c r="E5" s="33">
        <f>_xlfn.XLOOKUP(B5,Assignment!$B$4:$B$40,Assignment!$H$4:$H$40)</f>
        <v>2.3333333333333335</v>
      </c>
      <c r="F5" s="20">
        <f>_xlfn.XLOOKUP(B5,'Class Test'!$B$4:$B$40,'Class Test'!$D$4:$D$40)</f>
        <v>0</v>
      </c>
      <c r="G5" s="34">
        <f t="shared" ref="G5:G40" si="1">CEILING(SUM(D5:F5),0.5)</f>
        <v>8.5</v>
      </c>
    </row>
    <row r="6" spans="1:7" x14ac:dyDescent="0.3">
      <c r="A6" s="1">
        <f t="shared" si="0"/>
        <v>3</v>
      </c>
      <c r="B6" s="1">
        <v>25010901003</v>
      </c>
      <c r="C6" s="1" t="s">
        <v>5</v>
      </c>
      <c r="D6" s="20">
        <f>_xlfn.XLOOKUP(B6,'DCE 2-1 Attendance'!$B$4:$B$40,'DCE 2-1 Attendance'!$E$4:$E$40)</f>
        <v>7.5</v>
      </c>
      <c r="E6" s="33">
        <f>_xlfn.XLOOKUP(B6,Assignment!$B$4:$B$40,Assignment!$H$4:$H$40)</f>
        <v>4</v>
      </c>
      <c r="F6" s="20">
        <f>_xlfn.XLOOKUP(B6,'Class Test'!$B$4:$B$40,'Class Test'!$D$4:$D$40)</f>
        <v>0</v>
      </c>
      <c r="G6" s="34">
        <f t="shared" si="1"/>
        <v>11.5</v>
      </c>
    </row>
    <row r="7" spans="1:7" x14ac:dyDescent="0.3">
      <c r="A7" s="1">
        <f t="shared" si="0"/>
        <v>4</v>
      </c>
      <c r="B7" s="1">
        <v>25010901004</v>
      </c>
      <c r="C7" s="1" t="s">
        <v>6</v>
      </c>
      <c r="D7" s="20">
        <f>_xlfn.XLOOKUP(B7,'DCE 2-1 Attendance'!$B$4:$B$40,'DCE 2-1 Attendance'!$E$4:$E$40)</f>
        <v>6</v>
      </c>
      <c r="E7" s="33">
        <f>_xlfn.XLOOKUP(B7,Assignment!$B$4:$B$40,Assignment!$H$4:$H$40)</f>
        <v>3.4166666666666665</v>
      </c>
      <c r="F7" s="20">
        <f>_xlfn.XLOOKUP(B7,'Class Test'!$B$4:$B$40,'Class Test'!$D$4:$D$40)</f>
        <v>0</v>
      </c>
      <c r="G7" s="34">
        <f t="shared" si="1"/>
        <v>9.5</v>
      </c>
    </row>
    <row r="8" spans="1:7" x14ac:dyDescent="0.3">
      <c r="A8" s="1">
        <f t="shared" si="0"/>
        <v>5</v>
      </c>
      <c r="B8" s="1">
        <v>25010901005</v>
      </c>
      <c r="C8" s="1" t="s">
        <v>7</v>
      </c>
      <c r="D8" s="20">
        <f>_xlfn.XLOOKUP(B8,'DCE 2-1 Attendance'!$B$4:$B$40,'DCE 2-1 Attendance'!$E$4:$E$40)</f>
        <v>7.5</v>
      </c>
      <c r="E8" s="33">
        <f>_xlfn.XLOOKUP(B8,Assignment!$B$4:$B$40,Assignment!$H$4:$H$40)</f>
        <v>0</v>
      </c>
      <c r="F8" s="20">
        <f>_xlfn.XLOOKUP(B8,'Class Test'!$B$4:$B$40,'Class Test'!$D$4:$D$40)</f>
        <v>0</v>
      </c>
      <c r="G8" s="34">
        <f t="shared" si="1"/>
        <v>7.5</v>
      </c>
    </row>
    <row r="9" spans="1:7" x14ac:dyDescent="0.3">
      <c r="A9" s="1">
        <f t="shared" si="0"/>
        <v>6</v>
      </c>
      <c r="B9" s="1">
        <v>25010901007</v>
      </c>
      <c r="C9" s="1" t="s">
        <v>8</v>
      </c>
      <c r="D9" s="20">
        <f>_xlfn.XLOOKUP(B9,'DCE 2-1 Attendance'!$B$4:$B$40,'DCE 2-1 Attendance'!$E$4:$E$40)</f>
        <v>4.5</v>
      </c>
      <c r="E9" s="33">
        <f>_xlfn.XLOOKUP(B9,Assignment!$B$4:$B$40,Assignment!$H$4:$H$40)</f>
        <v>4.833333333333333</v>
      </c>
      <c r="F9" s="20">
        <f>_xlfn.XLOOKUP(B9,'Class Test'!$B$4:$B$40,'Class Test'!$D$4:$D$40)</f>
        <v>0</v>
      </c>
      <c r="G9" s="34">
        <f t="shared" si="1"/>
        <v>9.5</v>
      </c>
    </row>
    <row r="10" spans="1:7" x14ac:dyDescent="0.3">
      <c r="A10" s="1">
        <f t="shared" si="0"/>
        <v>7</v>
      </c>
      <c r="B10" s="1">
        <v>25010901009</v>
      </c>
      <c r="C10" s="1" t="s">
        <v>9</v>
      </c>
      <c r="D10" s="20">
        <f>_xlfn.XLOOKUP(B10,'DCE 2-1 Attendance'!$B$4:$B$40,'DCE 2-1 Attendance'!$E$4:$E$40)</f>
        <v>0</v>
      </c>
      <c r="E10" s="33">
        <f>_xlfn.XLOOKUP(B10,Assignment!$B$4:$B$40,Assignment!$H$4:$H$40)</f>
        <v>0</v>
      </c>
      <c r="F10" s="20">
        <f>_xlfn.XLOOKUP(B10,'Class Test'!$B$4:$B$40,'Class Test'!$D$4:$D$40)</f>
        <v>0</v>
      </c>
      <c r="G10" s="34">
        <f t="shared" si="1"/>
        <v>0</v>
      </c>
    </row>
    <row r="11" spans="1:7" x14ac:dyDescent="0.3">
      <c r="A11" s="1">
        <f t="shared" si="0"/>
        <v>8</v>
      </c>
      <c r="B11" s="1">
        <v>25010901010</v>
      </c>
      <c r="C11" s="1" t="s">
        <v>10</v>
      </c>
      <c r="D11" s="20">
        <f>_xlfn.XLOOKUP(B11,'DCE 2-1 Attendance'!$B$4:$B$40,'DCE 2-1 Attendance'!$E$4:$E$40)</f>
        <v>6</v>
      </c>
      <c r="E11" s="33">
        <f>_xlfn.XLOOKUP(B11,Assignment!$B$4:$B$40,Assignment!$H$4:$H$40)</f>
        <v>4.5</v>
      </c>
      <c r="F11" s="20">
        <f>_xlfn.XLOOKUP(B11,'Class Test'!$B$4:$B$40,'Class Test'!$D$4:$D$40)</f>
        <v>0</v>
      </c>
      <c r="G11" s="34">
        <f t="shared" si="1"/>
        <v>10.5</v>
      </c>
    </row>
    <row r="12" spans="1:7" x14ac:dyDescent="0.3">
      <c r="A12" s="1">
        <f t="shared" si="0"/>
        <v>9</v>
      </c>
      <c r="B12" s="1">
        <v>25010901011</v>
      </c>
      <c r="C12" s="1" t="s">
        <v>11</v>
      </c>
      <c r="D12" s="20">
        <f>_xlfn.XLOOKUP(B12,'DCE 2-1 Attendance'!$B$4:$B$40,'DCE 2-1 Attendance'!$E$4:$E$40)</f>
        <v>7.5</v>
      </c>
      <c r="E12" s="33">
        <f>_xlfn.XLOOKUP(B12,Assignment!$B$4:$B$40,Assignment!$H$4:$H$40)</f>
        <v>4.5</v>
      </c>
      <c r="F12" s="20">
        <f>_xlfn.XLOOKUP(B12,'Class Test'!$B$4:$B$40,'Class Test'!$D$4:$D$40)</f>
        <v>0</v>
      </c>
      <c r="G12" s="34">
        <f t="shared" si="1"/>
        <v>12</v>
      </c>
    </row>
    <row r="13" spans="1:7" x14ac:dyDescent="0.3">
      <c r="A13" s="1">
        <f t="shared" si="0"/>
        <v>10</v>
      </c>
      <c r="B13" s="1">
        <v>25010901012</v>
      </c>
      <c r="C13" s="1" t="s">
        <v>12</v>
      </c>
      <c r="D13" s="20">
        <f>_xlfn.XLOOKUP(B13,'DCE 2-1 Attendance'!$B$4:$B$40,'DCE 2-1 Attendance'!$E$4:$E$40)</f>
        <v>7.5</v>
      </c>
      <c r="E13" s="33">
        <f>_xlfn.XLOOKUP(B13,Assignment!$B$4:$B$40,Assignment!$H$4:$H$40)</f>
        <v>4.166666666666667</v>
      </c>
      <c r="F13" s="20">
        <f>_xlfn.XLOOKUP(B13,'Class Test'!$B$4:$B$40,'Class Test'!$D$4:$D$40)</f>
        <v>0</v>
      </c>
      <c r="G13" s="34">
        <f t="shared" si="1"/>
        <v>12</v>
      </c>
    </row>
    <row r="14" spans="1:7" x14ac:dyDescent="0.3">
      <c r="A14" s="1">
        <f t="shared" si="0"/>
        <v>11</v>
      </c>
      <c r="B14" s="1">
        <v>25010901013</v>
      </c>
      <c r="C14" s="1" t="s">
        <v>13</v>
      </c>
      <c r="D14" s="20">
        <f>_xlfn.XLOOKUP(B14,'DCE 2-1 Attendance'!$B$4:$B$40,'DCE 2-1 Attendance'!$E$4:$E$40)</f>
        <v>7.5</v>
      </c>
      <c r="E14" s="33">
        <f>_xlfn.XLOOKUP(B14,Assignment!$B$4:$B$40,Assignment!$H$4:$H$40)</f>
        <v>4.333333333333333</v>
      </c>
      <c r="F14" s="20">
        <f>_xlfn.XLOOKUP(B14,'Class Test'!$B$4:$B$40,'Class Test'!$D$4:$D$40)</f>
        <v>0</v>
      </c>
      <c r="G14" s="34">
        <f t="shared" si="1"/>
        <v>12</v>
      </c>
    </row>
    <row r="15" spans="1:7" x14ac:dyDescent="0.3">
      <c r="A15" s="1">
        <f t="shared" si="0"/>
        <v>12</v>
      </c>
      <c r="B15" s="1">
        <v>25010901014</v>
      </c>
      <c r="C15" s="1" t="s">
        <v>14</v>
      </c>
      <c r="D15" s="20">
        <f>_xlfn.XLOOKUP(B15,'DCE 2-1 Attendance'!$B$4:$B$40,'DCE 2-1 Attendance'!$E$4:$E$40)</f>
        <v>7.5</v>
      </c>
      <c r="E15" s="33">
        <f>_xlfn.XLOOKUP(B15,Assignment!$B$4:$B$40,Assignment!$H$4:$H$40)</f>
        <v>3.6666666666666665</v>
      </c>
      <c r="F15" s="20">
        <f>_xlfn.XLOOKUP(B15,'Class Test'!$B$4:$B$40,'Class Test'!$D$4:$D$40)</f>
        <v>0</v>
      </c>
      <c r="G15" s="34">
        <f t="shared" si="1"/>
        <v>11.5</v>
      </c>
    </row>
    <row r="16" spans="1:7" x14ac:dyDescent="0.3">
      <c r="A16" s="1">
        <f t="shared" si="0"/>
        <v>13</v>
      </c>
      <c r="B16" s="1">
        <v>25010901015</v>
      </c>
      <c r="C16" s="1" t="s">
        <v>15</v>
      </c>
      <c r="D16" s="20">
        <f>_xlfn.XLOOKUP(B16,'DCE 2-1 Attendance'!$B$4:$B$40,'DCE 2-1 Attendance'!$E$4:$E$40)</f>
        <v>7.5</v>
      </c>
      <c r="E16" s="33">
        <f>_xlfn.XLOOKUP(B16,Assignment!$B$4:$B$40,Assignment!$H$4:$H$40)</f>
        <v>5</v>
      </c>
      <c r="F16" s="20">
        <f>_xlfn.XLOOKUP(B16,'Class Test'!$B$4:$B$40,'Class Test'!$D$4:$D$40)</f>
        <v>0</v>
      </c>
      <c r="G16" s="34">
        <f t="shared" si="1"/>
        <v>12.5</v>
      </c>
    </row>
    <row r="17" spans="1:7" x14ac:dyDescent="0.3">
      <c r="A17" s="1">
        <f t="shared" si="0"/>
        <v>14</v>
      </c>
      <c r="B17" s="1">
        <v>25010901017</v>
      </c>
      <c r="C17" s="1" t="s">
        <v>16</v>
      </c>
      <c r="D17" s="20">
        <f>_xlfn.XLOOKUP(B17,'DCE 2-1 Attendance'!$B$4:$B$40,'DCE 2-1 Attendance'!$E$4:$E$40)</f>
        <v>6</v>
      </c>
      <c r="E17" s="33">
        <f>_xlfn.XLOOKUP(B17,Assignment!$B$4:$B$40,Assignment!$H$4:$H$40)</f>
        <v>2.9166666666666665</v>
      </c>
      <c r="F17" s="20">
        <f>_xlfn.XLOOKUP(B17,'Class Test'!$B$4:$B$40,'Class Test'!$D$4:$D$40)</f>
        <v>0</v>
      </c>
      <c r="G17" s="34">
        <f t="shared" si="1"/>
        <v>9</v>
      </c>
    </row>
    <row r="18" spans="1:7" x14ac:dyDescent="0.3">
      <c r="A18" s="10">
        <f t="shared" si="0"/>
        <v>15</v>
      </c>
      <c r="B18" s="1">
        <v>25010901018</v>
      </c>
      <c r="C18" s="1" t="s">
        <v>17</v>
      </c>
      <c r="D18" s="20">
        <f>_xlfn.XLOOKUP(B18,'DCE 2-1 Attendance'!$B$4:$B$40,'DCE 2-1 Attendance'!$E$4:$E$40)</f>
        <v>7.5</v>
      </c>
      <c r="E18" s="33">
        <f>_xlfn.XLOOKUP(B18,Assignment!$B$4:$B$40,Assignment!$H$4:$H$40)</f>
        <v>4.166666666666667</v>
      </c>
      <c r="F18" s="20">
        <f>_xlfn.XLOOKUP(B18,'Class Test'!$B$4:$B$40,'Class Test'!$D$4:$D$40)</f>
        <v>0</v>
      </c>
      <c r="G18" s="34">
        <f t="shared" si="1"/>
        <v>12</v>
      </c>
    </row>
    <row r="19" spans="1:7" x14ac:dyDescent="0.3">
      <c r="A19" s="1">
        <f t="shared" si="0"/>
        <v>16</v>
      </c>
      <c r="B19" s="1">
        <v>25010901019</v>
      </c>
      <c r="C19" s="1" t="s">
        <v>18</v>
      </c>
      <c r="D19" s="20">
        <f>_xlfn.XLOOKUP(B19,'DCE 2-1 Attendance'!$B$4:$B$40,'DCE 2-1 Attendance'!$E$4:$E$40)</f>
        <v>7.5</v>
      </c>
      <c r="E19" s="33">
        <f>_xlfn.XLOOKUP(B19,Assignment!$B$4:$B$40,Assignment!$H$4:$H$40)</f>
        <v>4.333333333333333</v>
      </c>
      <c r="F19" s="20">
        <f>_xlfn.XLOOKUP(B19,'Class Test'!$B$4:$B$40,'Class Test'!$D$4:$D$40)</f>
        <v>0</v>
      </c>
      <c r="G19" s="34">
        <f t="shared" si="1"/>
        <v>12</v>
      </c>
    </row>
    <row r="20" spans="1:7" x14ac:dyDescent="0.3">
      <c r="A20" s="1">
        <f t="shared" si="0"/>
        <v>17</v>
      </c>
      <c r="B20" s="1">
        <v>25010901020</v>
      </c>
      <c r="C20" s="1" t="s">
        <v>19</v>
      </c>
      <c r="D20" s="20">
        <f>_xlfn.XLOOKUP(B20,'DCE 2-1 Attendance'!$B$4:$B$40,'DCE 2-1 Attendance'!$E$4:$E$40)</f>
        <v>7.5</v>
      </c>
      <c r="E20" s="33">
        <f>_xlfn.XLOOKUP(B20,Assignment!$B$4:$B$40,Assignment!$H$4:$H$40)</f>
        <v>3.8333333333333335</v>
      </c>
      <c r="F20" s="20">
        <f>_xlfn.XLOOKUP(B20,'Class Test'!$B$4:$B$40,'Class Test'!$D$4:$D$40)</f>
        <v>0</v>
      </c>
      <c r="G20" s="34">
        <f t="shared" si="1"/>
        <v>11.5</v>
      </c>
    </row>
    <row r="21" spans="1:7" x14ac:dyDescent="0.3">
      <c r="A21" s="1">
        <f t="shared" si="0"/>
        <v>18</v>
      </c>
      <c r="B21" s="1">
        <v>25010901021</v>
      </c>
      <c r="C21" s="1" t="s">
        <v>20</v>
      </c>
      <c r="D21" s="20">
        <f>_xlfn.XLOOKUP(B21,'DCE 2-1 Attendance'!$B$4:$B$40,'DCE 2-1 Attendance'!$E$4:$E$40)</f>
        <v>6</v>
      </c>
      <c r="E21" s="33">
        <f>_xlfn.XLOOKUP(B21,Assignment!$B$4:$B$40,Assignment!$H$4:$H$40)</f>
        <v>4.333333333333333</v>
      </c>
      <c r="F21" s="20">
        <f>_xlfn.XLOOKUP(B21,'Class Test'!$B$4:$B$40,'Class Test'!$D$4:$D$40)</f>
        <v>0</v>
      </c>
      <c r="G21" s="34">
        <f t="shared" si="1"/>
        <v>10.5</v>
      </c>
    </row>
    <row r="22" spans="1:7" x14ac:dyDescent="0.3">
      <c r="A22" s="1">
        <f t="shared" si="0"/>
        <v>19</v>
      </c>
      <c r="B22" s="1">
        <v>25010901022</v>
      </c>
      <c r="C22" s="1" t="s">
        <v>21</v>
      </c>
      <c r="D22" s="20">
        <f>_xlfn.XLOOKUP(B22,'DCE 2-1 Attendance'!$B$4:$B$40,'DCE 2-1 Attendance'!$E$4:$E$40)</f>
        <v>7.5</v>
      </c>
      <c r="E22" s="33">
        <f>_xlfn.XLOOKUP(B22,Assignment!$B$4:$B$40,Assignment!$H$4:$H$40)</f>
        <v>2.1666666666666665</v>
      </c>
      <c r="F22" s="20">
        <f>_xlfn.XLOOKUP(B22,'Class Test'!$B$4:$B$40,'Class Test'!$D$4:$D$40)</f>
        <v>0</v>
      </c>
      <c r="G22" s="34">
        <f t="shared" si="1"/>
        <v>10</v>
      </c>
    </row>
    <row r="23" spans="1:7" x14ac:dyDescent="0.3">
      <c r="A23" s="1">
        <f t="shared" si="0"/>
        <v>20</v>
      </c>
      <c r="B23" s="1">
        <v>25010901023</v>
      </c>
      <c r="C23" s="1" t="s">
        <v>22</v>
      </c>
      <c r="D23" s="20">
        <f>_xlfn.XLOOKUP(B23,'DCE 2-1 Attendance'!$B$4:$B$40,'DCE 2-1 Attendance'!$E$4:$E$40)</f>
        <v>7.5</v>
      </c>
      <c r="E23" s="33">
        <f>_xlfn.XLOOKUP(B23,Assignment!$B$4:$B$40,Assignment!$H$4:$H$40)</f>
        <v>4.666666666666667</v>
      </c>
      <c r="F23" s="20">
        <f>_xlfn.XLOOKUP(B23,'Class Test'!$B$4:$B$40,'Class Test'!$D$4:$D$40)</f>
        <v>0</v>
      </c>
      <c r="G23" s="34">
        <f t="shared" si="1"/>
        <v>12.5</v>
      </c>
    </row>
    <row r="24" spans="1:7" x14ac:dyDescent="0.3">
      <c r="A24" s="1">
        <f t="shared" si="0"/>
        <v>21</v>
      </c>
      <c r="B24" s="1">
        <v>25010901024</v>
      </c>
      <c r="C24" s="1" t="s">
        <v>23</v>
      </c>
      <c r="D24" s="20">
        <f>_xlfn.XLOOKUP(B24,'DCE 2-1 Attendance'!$B$4:$B$40,'DCE 2-1 Attendance'!$E$4:$E$40)</f>
        <v>6</v>
      </c>
      <c r="E24" s="33">
        <f>_xlfn.XLOOKUP(B24,Assignment!$B$4:$B$40,Assignment!$H$4:$H$40)</f>
        <v>4.333333333333333</v>
      </c>
      <c r="F24" s="20">
        <f>_xlfn.XLOOKUP(B24,'Class Test'!$B$4:$B$40,'Class Test'!$D$4:$D$40)</f>
        <v>0</v>
      </c>
      <c r="G24" s="34">
        <f t="shared" si="1"/>
        <v>10.5</v>
      </c>
    </row>
    <row r="25" spans="1:7" x14ac:dyDescent="0.3">
      <c r="A25" s="1">
        <f t="shared" si="0"/>
        <v>22</v>
      </c>
      <c r="B25" s="1">
        <v>25010901025</v>
      </c>
      <c r="C25" s="1" t="s">
        <v>24</v>
      </c>
      <c r="D25" s="20">
        <f>_xlfn.XLOOKUP(B25,'DCE 2-1 Attendance'!$B$4:$B$40,'DCE 2-1 Attendance'!$E$4:$E$40)</f>
        <v>6</v>
      </c>
      <c r="E25" s="33">
        <f>_xlfn.XLOOKUP(B25,Assignment!$B$4:$B$40,Assignment!$H$4:$H$40)</f>
        <v>3.1666666666666665</v>
      </c>
      <c r="F25" s="20">
        <f>_xlfn.XLOOKUP(B25,'Class Test'!$B$4:$B$40,'Class Test'!$D$4:$D$40)</f>
        <v>0</v>
      </c>
      <c r="G25" s="34">
        <f t="shared" si="1"/>
        <v>9.5</v>
      </c>
    </row>
    <row r="26" spans="1:7" x14ac:dyDescent="0.3">
      <c r="A26" s="1">
        <f t="shared" si="0"/>
        <v>23</v>
      </c>
      <c r="B26" s="1">
        <v>25010901026</v>
      </c>
      <c r="C26" s="1" t="s">
        <v>25</v>
      </c>
      <c r="D26" s="20">
        <f>_xlfn.XLOOKUP(B26,'DCE 2-1 Attendance'!$B$4:$B$40,'DCE 2-1 Attendance'!$E$4:$E$40)</f>
        <v>7.5</v>
      </c>
      <c r="E26" s="33">
        <f>_xlfn.XLOOKUP(B26,Assignment!$B$4:$B$40,Assignment!$H$4:$H$40)</f>
        <v>4.833333333333333</v>
      </c>
      <c r="F26" s="20">
        <f>_xlfn.XLOOKUP(B26,'Class Test'!$B$4:$B$40,'Class Test'!$D$4:$D$40)</f>
        <v>0</v>
      </c>
      <c r="G26" s="34">
        <f t="shared" si="1"/>
        <v>12.5</v>
      </c>
    </row>
    <row r="27" spans="1:7" x14ac:dyDescent="0.3">
      <c r="A27" s="1">
        <f t="shared" si="0"/>
        <v>24</v>
      </c>
      <c r="B27" s="1">
        <v>25010901027</v>
      </c>
      <c r="C27" s="1" t="s">
        <v>26</v>
      </c>
      <c r="D27" s="20">
        <f>_xlfn.XLOOKUP(B27,'DCE 2-1 Attendance'!$B$4:$B$40,'DCE 2-1 Attendance'!$E$4:$E$40)</f>
        <v>4.5</v>
      </c>
      <c r="E27" s="33">
        <f>_xlfn.XLOOKUP(B27,Assignment!$B$4:$B$40,Assignment!$H$4:$H$40)</f>
        <v>4</v>
      </c>
      <c r="F27" s="20">
        <f>_xlfn.XLOOKUP(B27,'Class Test'!$B$4:$B$40,'Class Test'!$D$4:$D$40)</f>
        <v>0</v>
      </c>
      <c r="G27" s="34">
        <f t="shared" si="1"/>
        <v>8.5</v>
      </c>
    </row>
    <row r="28" spans="1:7" x14ac:dyDescent="0.3">
      <c r="A28" s="10">
        <f t="shared" si="0"/>
        <v>25</v>
      </c>
      <c r="B28" s="1">
        <v>25010901029</v>
      </c>
      <c r="C28" s="1" t="s">
        <v>27</v>
      </c>
      <c r="D28" s="20">
        <f>_xlfn.XLOOKUP(B28,'DCE 2-1 Attendance'!$B$4:$B$40,'DCE 2-1 Attendance'!$E$4:$E$40)</f>
        <v>7.5</v>
      </c>
      <c r="E28" s="33">
        <f>_xlfn.XLOOKUP(B28,Assignment!$B$4:$B$40,Assignment!$H$4:$H$40)</f>
        <v>4.666666666666667</v>
      </c>
      <c r="F28" s="20">
        <f>_xlfn.XLOOKUP(B28,'Class Test'!$B$4:$B$40,'Class Test'!$D$4:$D$40)</f>
        <v>0</v>
      </c>
      <c r="G28" s="34">
        <f t="shared" si="1"/>
        <v>12.5</v>
      </c>
    </row>
    <row r="29" spans="1:7" x14ac:dyDescent="0.3">
      <c r="A29" s="1">
        <f t="shared" si="0"/>
        <v>26</v>
      </c>
      <c r="B29" s="1">
        <v>25010901030</v>
      </c>
      <c r="C29" s="1" t="s">
        <v>28</v>
      </c>
      <c r="D29" s="20">
        <f>_xlfn.XLOOKUP(B29,'DCE 2-1 Attendance'!$B$4:$B$40,'DCE 2-1 Attendance'!$E$4:$E$40)</f>
        <v>7.5</v>
      </c>
      <c r="E29" s="33">
        <f>_xlfn.XLOOKUP(B29,Assignment!$B$4:$B$40,Assignment!$H$4:$H$40)</f>
        <v>4.666666666666667</v>
      </c>
      <c r="F29" s="20">
        <f>_xlfn.XLOOKUP(B29,'Class Test'!$B$4:$B$40,'Class Test'!$D$4:$D$40)</f>
        <v>0</v>
      </c>
      <c r="G29" s="34">
        <f t="shared" si="1"/>
        <v>12.5</v>
      </c>
    </row>
    <row r="30" spans="1:7" x14ac:dyDescent="0.3">
      <c r="A30" s="1">
        <f t="shared" si="0"/>
        <v>27</v>
      </c>
      <c r="B30" s="1">
        <v>25010901031</v>
      </c>
      <c r="C30" s="1" t="s">
        <v>29</v>
      </c>
      <c r="D30" s="20">
        <f>_xlfn.XLOOKUP(B30,'DCE 2-1 Attendance'!$B$4:$B$40,'DCE 2-1 Attendance'!$E$4:$E$40)</f>
        <v>4.5</v>
      </c>
      <c r="E30" s="33">
        <f>_xlfn.XLOOKUP(B30,Assignment!$B$4:$B$40,Assignment!$H$4:$H$40)</f>
        <v>4.666666666666667</v>
      </c>
      <c r="F30" s="20">
        <f>_xlfn.XLOOKUP(B30,'Class Test'!$B$4:$B$40,'Class Test'!$D$4:$D$40)</f>
        <v>0</v>
      </c>
      <c r="G30" s="34">
        <f t="shared" si="1"/>
        <v>9.5</v>
      </c>
    </row>
    <row r="31" spans="1:7" x14ac:dyDescent="0.3">
      <c r="A31" s="1">
        <f t="shared" si="0"/>
        <v>28</v>
      </c>
      <c r="B31" s="1">
        <v>25010901032</v>
      </c>
      <c r="C31" s="1" t="s">
        <v>30</v>
      </c>
      <c r="D31" s="20">
        <f>_xlfn.XLOOKUP(B31,'DCE 2-1 Attendance'!$B$4:$B$40,'DCE 2-1 Attendance'!$E$4:$E$40)</f>
        <v>7.5</v>
      </c>
      <c r="E31" s="33">
        <f>_xlfn.XLOOKUP(B31,Assignment!$B$4:$B$40,Assignment!$H$4:$H$40)</f>
        <v>4.666666666666667</v>
      </c>
      <c r="F31" s="20">
        <f>_xlfn.XLOOKUP(B31,'Class Test'!$B$4:$B$40,'Class Test'!$D$4:$D$40)</f>
        <v>0</v>
      </c>
      <c r="G31" s="34">
        <f t="shared" si="1"/>
        <v>12.5</v>
      </c>
    </row>
    <row r="32" spans="1:7" x14ac:dyDescent="0.3">
      <c r="A32" s="1">
        <f t="shared" si="0"/>
        <v>29</v>
      </c>
      <c r="B32" s="1">
        <v>25010901033</v>
      </c>
      <c r="C32" s="1" t="s">
        <v>31</v>
      </c>
      <c r="D32" s="20">
        <f>_xlfn.XLOOKUP(B32,'DCE 2-1 Attendance'!$B$4:$B$40,'DCE 2-1 Attendance'!$E$4:$E$40)</f>
        <v>6</v>
      </c>
      <c r="E32" s="33">
        <f>_xlfn.XLOOKUP(B32,Assignment!$B$4:$B$40,Assignment!$H$4:$H$40)</f>
        <v>4.5</v>
      </c>
      <c r="F32" s="20">
        <f>_xlfn.XLOOKUP(B32,'Class Test'!$B$4:$B$40,'Class Test'!$D$4:$D$40)</f>
        <v>0</v>
      </c>
      <c r="G32" s="34">
        <f t="shared" si="1"/>
        <v>10.5</v>
      </c>
    </row>
    <row r="33" spans="1:7" x14ac:dyDescent="0.3">
      <c r="A33" s="1">
        <f t="shared" si="0"/>
        <v>30</v>
      </c>
      <c r="B33" s="1">
        <v>25010901034</v>
      </c>
      <c r="C33" s="1" t="s">
        <v>32</v>
      </c>
      <c r="D33" s="20">
        <f>_xlfn.XLOOKUP(B33,'DCE 2-1 Attendance'!$B$4:$B$40,'DCE 2-1 Attendance'!$E$4:$E$40)</f>
        <v>7.5</v>
      </c>
      <c r="E33" s="33">
        <f>_xlfn.XLOOKUP(B33,Assignment!$B$4:$B$40,Assignment!$H$4:$H$40)</f>
        <v>4.666666666666667</v>
      </c>
      <c r="F33" s="20">
        <f>_xlfn.XLOOKUP(B33,'Class Test'!$B$4:$B$40,'Class Test'!$D$4:$D$40)</f>
        <v>0</v>
      </c>
      <c r="G33" s="34">
        <f t="shared" si="1"/>
        <v>12.5</v>
      </c>
    </row>
    <row r="34" spans="1:7" x14ac:dyDescent="0.3">
      <c r="A34" s="1">
        <f t="shared" si="0"/>
        <v>31</v>
      </c>
      <c r="B34" s="1">
        <v>25010901035</v>
      </c>
      <c r="C34" s="1" t="s">
        <v>33</v>
      </c>
      <c r="D34" s="20">
        <f>_xlfn.XLOOKUP(B34,'DCE 2-1 Attendance'!$B$4:$B$40,'DCE 2-1 Attendance'!$E$4:$E$40)</f>
        <v>7.5</v>
      </c>
      <c r="E34" s="33">
        <f>_xlfn.XLOOKUP(B34,Assignment!$B$4:$B$40,Assignment!$H$4:$H$40)</f>
        <v>4.833333333333333</v>
      </c>
      <c r="F34" s="20">
        <f>_xlfn.XLOOKUP(B34,'Class Test'!$B$4:$B$40,'Class Test'!$D$4:$D$40)</f>
        <v>0</v>
      </c>
      <c r="G34" s="34">
        <f t="shared" si="1"/>
        <v>12.5</v>
      </c>
    </row>
    <row r="35" spans="1:7" x14ac:dyDescent="0.3">
      <c r="A35" s="1">
        <f t="shared" si="0"/>
        <v>32</v>
      </c>
      <c r="B35" s="1">
        <v>25010901036</v>
      </c>
      <c r="C35" s="1" t="s">
        <v>34</v>
      </c>
      <c r="D35" s="20">
        <f>_xlfn.XLOOKUP(B35,'DCE 2-1 Attendance'!$B$4:$B$40,'DCE 2-1 Attendance'!$E$4:$E$40)</f>
        <v>7.5</v>
      </c>
      <c r="E35" s="33">
        <f>_xlfn.XLOOKUP(B35,Assignment!$B$4:$B$40,Assignment!$H$4:$H$40)</f>
        <v>3.4166666666666665</v>
      </c>
      <c r="F35" s="20">
        <f>_xlfn.XLOOKUP(B35,'Class Test'!$B$4:$B$40,'Class Test'!$D$4:$D$40)</f>
        <v>0</v>
      </c>
      <c r="G35" s="34">
        <f t="shared" si="1"/>
        <v>11</v>
      </c>
    </row>
    <row r="36" spans="1:7" x14ac:dyDescent="0.3">
      <c r="A36" s="1">
        <f t="shared" si="0"/>
        <v>33</v>
      </c>
      <c r="B36" s="1">
        <v>25010901037</v>
      </c>
      <c r="C36" s="1" t="s">
        <v>35</v>
      </c>
      <c r="D36" s="20">
        <f>_xlfn.XLOOKUP(B36,'DCE 2-1 Attendance'!$B$4:$B$40,'DCE 2-1 Attendance'!$E$4:$E$40)</f>
        <v>6</v>
      </c>
      <c r="E36" s="33">
        <f>_xlfn.XLOOKUP(B36,Assignment!$B$4:$B$40,Assignment!$H$4:$H$40)</f>
        <v>4.5</v>
      </c>
      <c r="F36" s="20">
        <f>_xlfn.XLOOKUP(B36,'Class Test'!$B$4:$B$40,'Class Test'!$D$4:$D$40)</f>
        <v>0</v>
      </c>
      <c r="G36" s="34">
        <f t="shared" si="1"/>
        <v>10.5</v>
      </c>
    </row>
    <row r="37" spans="1:7" x14ac:dyDescent="0.3">
      <c r="A37" s="1">
        <f t="shared" si="0"/>
        <v>34</v>
      </c>
      <c r="B37" s="1">
        <v>25010901038</v>
      </c>
      <c r="C37" s="1" t="s">
        <v>36</v>
      </c>
      <c r="D37" s="20">
        <f>_xlfn.XLOOKUP(B37,'DCE 2-1 Attendance'!$B$4:$B$40,'DCE 2-1 Attendance'!$E$4:$E$40)</f>
        <v>7.5</v>
      </c>
      <c r="E37" s="33">
        <f>_xlfn.XLOOKUP(B37,Assignment!$B$4:$B$40,Assignment!$H$4:$H$40)</f>
        <v>4.333333333333333</v>
      </c>
      <c r="F37" s="20">
        <f>_xlfn.XLOOKUP(B37,'Class Test'!$B$4:$B$40,'Class Test'!$D$4:$D$40)</f>
        <v>0</v>
      </c>
      <c r="G37" s="34">
        <f t="shared" si="1"/>
        <v>12</v>
      </c>
    </row>
    <row r="38" spans="1:7" x14ac:dyDescent="0.3">
      <c r="A38" s="1">
        <f t="shared" si="0"/>
        <v>35</v>
      </c>
      <c r="B38" s="1">
        <v>25010901039</v>
      </c>
      <c r="C38" s="1" t="s">
        <v>37</v>
      </c>
      <c r="D38" s="20">
        <f>_xlfn.XLOOKUP(B38,'DCE 2-1 Attendance'!$B$4:$B$40,'DCE 2-1 Attendance'!$E$4:$E$40)</f>
        <v>0</v>
      </c>
      <c r="E38" s="33">
        <f>_xlfn.XLOOKUP(B38,Assignment!$B$4:$B$40,Assignment!$H$4:$H$40)</f>
        <v>0</v>
      </c>
      <c r="F38" s="20">
        <f>_xlfn.XLOOKUP(B38,'Class Test'!$B$4:$B$40,'Class Test'!$D$4:$D$40)</f>
        <v>0</v>
      </c>
      <c r="G38" s="34">
        <f t="shared" si="1"/>
        <v>0</v>
      </c>
    </row>
    <row r="39" spans="1:7" x14ac:dyDescent="0.3">
      <c r="A39" s="1">
        <f t="shared" si="0"/>
        <v>36</v>
      </c>
      <c r="B39" s="1">
        <v>24010901023</v>
      </c>
      <c r="C39" s="1" t="s">
        <v>44</v>
      </c>
      <c r="D39" s="20">
        <f>_xlfn.XLOOKUP(B39,'DCE 2-1 Attendance'!$B$4:$B$40,'DCE 2-1 Attendance'!$E$4:$E$40)</f>
        <v>0</v>
      </c>
      <c r="E39" s="33">
        <f>_xlfn.XLOOKUP(B39,Assignment!$B$4:$B$40,Assignment!$H$4:$H$40)</f>
        <v>3.1666666666666665</v>
      </c>
      <c r="F39" s="20">
        <f>_xlfn.XLOOKUP(B39,'Class Test'!$B$4:$B$40,'Class Test'!$D$4:$D$40)</f>
        <v>0</v>
      </c>
      <c r="G39" s="34">
        <f t="shared" si="1"/>
        <v>3.5</v>
      </c>
    </row>
    <row r="40" spans="1:7" x14ac:dyDescent="0.3">
      <c r="A40" s="1">
        <f t="shared" si="0"/>
        <v>37</v>
      </c>
      <c r="B40" s="1">
        <v>24010901033</v>
      </c>
      <c r="C40" s="1" t="s">
        <v>38</v>
      </c>
      <c r="D40" s="20">
        <f>_xlfn.XLOOKUP(B40,'DCE 2-1 Attendance'!$B$4:$B$40,'DCE 2-1 Attendance'!$E$4:$E$40)</f>
        <v>3</v>
      </c>
      <c r="E40" s="33">
        <f>_xlfn.XLOOKUP(B40,Assignment!$B$4:$B$40,Assignment!$H$4:$H$40)</f>
        <v>3.3333333333333335</v>
      </c>
      <c r="F40" s="20">
        <f>_xlfn.XLOOKUP(B40,'Class Test'!$B$4:$B$40,'Class Test'!$D$4:$D$40)</f>
        <v>0</v>
      </c>
      <c r="G40" s="34">
        <f t="shared" si="1"/>
        <v>6.5</v>
      </c>
    </row>
  </sheetData>
  <autoFilter ref="A3:D3" xr:uid="{2CB2915B-7E74-40B0-9D48-A1940F1D0007}"/>
  <mergeCells count="1">
    <mergeCell ref="A1:B1"/>
  </mergeCells>
  <printOptions horizontalCentered="1"/>
  <pageMargins left="0.25" right="0.25" top="0.5" bottom="0.5" header="0.3" footer="0.3"/>
  <pageSetup paperSize="9" scale="5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DCE 2-1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2026-09-29T09:39:07Z</cp:lastPrinted>
  <dcterms:created xsi:type="dcterms:W3CDTF">2026-08-15T08:13:38Z</dcterms:created>
  <dcterms:modified xsi:type="dcterms:W3CDTF">2026-09-29T11:27:19Z</dcterms:modified>
</cp:coreProperties>
</file>