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ssessment\ESE 2-1\"/>
    </mc:Choice>
  </mc:AlternateContent>
  <xr:revisionPtr revIDLastSave="0" documentId="13_ncr:1_{067D9FD6-8B81-4694-A910-357808A39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E 2-1 Attendance" sheetId="1" r:id="rId1"/>
    <sheet name="Assessment" sheetId="8" r:id="rId2"/>
  </sheets>
  <definedNames>
    <definedName name="_xlnm._FilterDatabase" localSheetId="1" hidden="1">Assessment!#REF!</definedName>
    <definedName name="_xlnm._FilterDatabase" localSheetId="0" hidden="1">'ESE 2-1 Attendance'!$E$3:$X$3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8" l="1"/>
  <c r="I32" i="8" s="1"/>
  <c r="H33" i="8"/>
  <c r="I33" i="8" s="1"/>
  <c r="H34" i="8"/>
  <c r="I34" i="8" s="1"/>
  <c r="H35" i="8"/>
  <c r="I35" i="8" s="1"/>
  <c r="H36" i="8"/>
  <c r="I36" i="8" s="1"/>
  <c r="H37" i="8"/>
  <c r="I37" i="8" s="1"/>
  <c r="H38" i="8"/>
  <c r="I38" i="8" s="1"/>
  <c r="H39" i="8"/>
  <c r="I39" i="8" s="1"/>
  <c r="H40" i="8"/>
  <c r="I40" i="8" s="1"/>
  <c r="H41" i="8"/>
  <c r="I41" i="8" s="1"/>
  <c r="H42" i="8"/>
  <c r="I42" i="8" s="1"/>
  <c r="H43" i="8"/>
  <c r="I43" i="8" s="1"/>
  <c r="H44" i="8"/>
  <c r="I44" i="8" s="1"/>
  <c r="H31" i="8"/>
  <c r="I31" i="8" s="1"/>
  <c r="I30" i="8"/>
  <c r="H30" i="8"/>
  <c r="H29" i="8"/>
  <c r="I29" i="8" s="1"/>
  <c r="I28" i="8"/>
  <c r="H28" i="8"/>
  <c r="H27" i="8"/>
  <c r="I27" i="8" s="1"/>
  <c r="I26" i="8"/>
  <c r="H26" i="8"/>
  <c r="H25" i="8"/>
  <c r="I25" i="8" s="1"/>
  <c r="I24" i="8"/>
  <c r="H24" i="8"/>
  <c r="H23" i="8"/>
  <c r="I23" i="8" s="1"/>
  <c r="I22" i="8"/>
  <c r="H22" i="8"/>
  <c r="H21" i="8"/>
  <c r="I21" i="8" s="1"/>
  <c r="I20" i="8"/>
  <c r="H20" i="8"/>
  <c r="H19" i="8"/>
  <c r="I19" i="8" s="1"/>
  <c r="I18" i="8"/>
  <c r="H18" i="8"/>
  <c r="H17" i="8"/>
  <c r="I17" i="8" s="1"/>
  <c r="I16" i="8"/>
  <c r="H16" i="8"/>
  <c r="H15" i="8"/>
  <c r="I15" i="8" s="1"/>
  <c r="I14" i="8"/>
  <c r="H14" i="8"/>
  <c r="H13" i="8"/>
  <c r="I13" i="8" s="1"/>
  <c r="I12" i="8"/>
  <c r="H12" i="8"/>
  <c r="H11" i="8"/>
  <c r="I11" i="8" s="1"/>
  <c r="I10" i="8"/>
  <c r="H10" i="8"/>
  <c r="H9" i="8"/>
  <c r="I9" i="8" s="1"/>
  <c r="I8" i="8"/>
  <c r="H8" i="8"/>
  <c r="H7" i="8"/>
  <c r="I7" i="8" s="1"/>
  <c r="I6" i="8"/>
  <c r="H6" i="8"/>
  <c r="H5" i="8"/>
  <c r="I5" i="8" s="1"/>
  <c r="I4" i="8"/>
  <c r="H4" i="8"/>
  <c r="A5" i="8"/>
  <c r="A6" i="8" s="1"/>
  <c r="D4" i="1"/>
  <c r="A7" i="8" l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D39" i="1"/>
  <c r="D40" i="1"/>
  <c r="D41" i="1"/>
  <c r="A39" i="1"/>
  <c r="A40" i="1" s="1"/>
  <c r="A41" i="1" s="1"/>
  <c r="A42" i="1" s="1"/>
  <c r="A43" i="1" s="1"/>
  <c r="A44" i="1" s="1"/>
  <c r="B2" i="8" l="1"/>
  <c r="D32" i="1"/>
  <c r="D33" i="1"/>
  <c r="D34" i="1"/>
  <c r="D35" i="1"/>
  <c r="D36" i="1"/>
  <c r="D37" i="1"/>
  <c r="D38" i="1"/>
  <c r="D42" i="1"/>
  <c r="D43" i="1"/>
  <c r="D44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A5" i="1" l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B2" i="1" l="1"/>
</calcChain>
</file>

<file path=xl/sharedStrings.xml><?xml version="1.0" encoding="utf-8"?>
<sst xmlns="http://schemas.openxmlformats.org/spreadsheetml/2006/main" count="204" uniqueCount="58">
  <si>
    <t>SL</t>
  </si>
  <si>
    <t>Students ID</t>
  </si>
  <si>
    <t>Students Name</t>
  </si>
  <si>
    <t>MD. MORSHEDUL ISLAM</t>
  </si>
  <si>
    <t>CHANDRAKANTA SUSHIL DIP</t>
  </si>
  <si>
    <t>MD. MAHFUZ UDDIN</t>
  </si>
  <si>
    <t>HASIB JAHAN SAIKAT</t>
  </si>
  <si>
    <t>OISHI RANI SARKER</t>
  </si>
  <si>
    <t>TONOY KANTI BASAK</t>
  </si>
  <si>
    <t>TAHSIN AZAD KOLI</t>
  </si>
  <si>
    <t>PROBIR CHAKROBORTY</t>
  </si>
  <si>
    <t>MD. KHALID HASAN RONY</t>
  </si>
  <si>
    <t>MASNUN ADIB</t>
  </si>
  <si>
    <t>MD. FARHAN NUR ISLAM QUADERY SHUPTHO</t>
  </si>
  <si>
    <t>MD. ASHIQUR RAHMAN</t>
  </si>
  <si>
    <t>MST. ISRAT JAHAN MUNNI</t>
  </si>
  <si>
    <t>MD. HASIBUL HAQUE</t>
  </si>
  <si>
    <t>PARTHA SARKAR</t>
  </si>
  <si>
    <t>PRATTOY CHOWDHURY</t>
  </si>
  <si>
    <t>ARNAB SAHA</t>
  </si>
  <si>
    <t>MD. SADMAN SAKIF</t>
  </si>
  <si>
    <t>LISA ROY TINA</t>
  </si>
  <si>
    <t>MD. SHABIRUJJAMAN DIGONTO</t>
  </si>
  <si>
    <t>FARIDUZZAMAN TALUKDER</t>
  </si>
  <si>
    <t>MD. RIAZUL ISLAM LIKHON</t>
  </si>
  <si>
    <t>MOZAHID HASAN MUKTO</t>
  </si>
  <si>
    <t>MST. JULEKHA KHATUN</t>
  </si>
  <si>
    <t>TIRTHA SUTRADHAR</t>
  </si>
  <si>
    <t>JANNATUL FERDUSE SWEETY</t>
  </si>
  <si>
    <t>MD. MASHRAFE JAMAN</t>
  </si>
  <si>
    <t>TAMIM BIN MOHSIN</t>
  </si>
  <si>
    <t>DEVDATTA DAS ADHIKARY</t>
  </si>
  <si>
    <t>SAMIRA AFROSE</t>
  </si>
  <si>
    <t>TASMIA NUDER</t>
  </si>
  <si>
    <t>SWAPNIL CHOWDHURY</t>
  </si>
  <si>
    <t>MD. SAKIBUL SAHON</t>
  </si>
  <si>
    <t>NAFIZA ANZUM AHONA</t>
  </si>
  <si>
    <t>ISHMAM TAHSIN ZIAN</t>
  </si>
  <si>
    <t>SHAIMA TASNEEM AUTHOYEE</t>
  </si>
  <si>
    <t>MD. LUKMAN HOSSAIN</t>
  </si>
  <si>
    <t>ABDULLAH AL LABIB</t>
  </si>
  <si>
    <t>RUFAIDA ANZUM</t>
  </si>
  <si>
    <t>MD. IMTISHAR SARKER SAMI</t>
  </si>
  <si>
    <t>BATCH 51</t>
  </si>
  <si>
    <t>NOS</t>
  </si>
  <si>
    <t>ESE 2-1</t>
  </si>
  <si>
    <t>A</t>
  </si>
  <si>
    <t>P</t>
  </si>
  <si>
    <t>Attendance%</t>
  </si>
  <si>
    <t>NOCLS</t>
  </si>
  <si>
    <t>FAHMID SAMI ARIN</t>
  </si>
  <si>
    <t>Assignment 1</t>
  </si>
  <si>
    <t>Assignmnet 2</t>
  </si>
  <si>
    <t>Assignment 3</t>
  </si>
  <si>
    <t>Assignmnet 4</t>
  </si>
  <si>
    <t>Total</t>
  </si>
  <si>
    <t>Knitting Action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</si>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</sst>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  <font>
      <sz val="12"/>
      <color rgb="FF000000"/>
      <name val="Gill Sans MT"/>
      <family val="2"/>
    </font>
    <font>
      <b/>
      <sz val="12"/>
      <color rgb="FF000000"/>
      <name val="Gill Sans M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tabSelected="1" workbookViewId="0">
      <pane xSplit="4" ySplit="3" topLeftCell="E15" activePane="bottomRight" state="frozen"/>
      <selection pane="topRight" activeCell="E1" sqref="E1"/>
      <selection pane="bottomLeft" activeCell="A4" sqref="A4"/>
      <selection pane="bottomRight" activeCell="G20" sqref="G20"/>
    </sheetView>
  </sheetViews>
  <sheetFormatPr defaultRowHeight="19.2" x14ac:dyDescent="0.3"/>
  <cols>
    <col min="1" max="1" width="6.21875" style="2" bestFit="1" customWidth="1"/>
    <col min="2" max="2" width="13.6640625" style="2" bestFit="1" customWidth="1"/>
    <col min="3" max="3" width="48.77734375" style="2" bestFit="1" customWidth="1"/>
    <col min="4" max="4" width="15" style="2" bestFit="1" customWidth="1"/>
    <col min="5" max="6" width="27.109375" style="2" bestFit="1" customWidth="1"/>
    <col min="7" max="7" width="34.88671875" style="2" bestFit="1" customWidth="1"/>
    <col min="8" max="24" width="30.77734375" style="2" customWidth="1"/>
    <col min="25" max="16384" width="8.88671875" style="2"/>
  </cols>
  <sheetData>
    <row r="1" spans="1:24" x14ac:dyDescent="0.3">
      <c r="A1" s="16" t="s">
        <v>45</v>
      </c>
      <c r="B1" s="16"/>
      <c r="C1" s="4" t="s">
        <v>43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3">
      <c r="A2" s="4" t="s">
        <v>44</v>
      </c>
      <c r="B2" s="4">
        <f>COUNT(A4:A44)</f>
        <v>41</v>
      </c>
      <c r="C2" s="4" t="s">
        <v>49</v>
      </c>
      <c r="D2" s="4"/>
      <c r="E2" s="6">
        <v>1</v>
      </c>
      <c r="F2" s="6">
        <f>E2+1</f>
        <v>2</v>
      </c>
      <c r="G2" s="6">
        <f t="shared" ref="G2:X2" si="0">F2+1</f>
        <v>3</v>
      </c>
      <c r="H2" s="6">
        <f t="shared" si="0"/>
        <v>4</v>
      </c>
      <c r="I2" s="6">
        <f t="shared" si="0"/>
        <v>5</v>
      </c>
      <c r="J2" s="6">
        <f t="shared" si="0"/>
        <v>6</v>
      </c>
      <c r="K2" s="6">
        <f t="shared" si="0"/>
        <v>7</v>
      </c>
      <c r="L2" s="6">
        <f t="shared" si="0"/>
        <v>8</v>
      </c>
      <c r="M2" s="6">
        <f t="shared" si="0"/>
        <v>9</v>
      </c>
      <c r="N2" s="6">
        <f t="shared" si="0"/>
        <v>10</v>
      </c>
      <c r="O2" s="6">
        <f t="shared" si="0"/>
        <v>11</v>
      </c>
      <c r="P2" s="6">
        <f t="shared" si="0"/>
        <v>12</v>
      </c>
      <c r="Q2" s="6">
        <f>P2+1</f>
        <v>13</v>
      </c>
      <c r="R2" s="6">
        <f t="shared" si="0"/>
        <v>14</v>
      </c>
      <c r="S2" s="6">
        <f t="shared" si="0"/>
        <v>15</v>
      </c>
      <c r="T2" s="6">
        <f t="shared" si="0"/>
        <v>16</v>
      </c>
      <c r="U2" s="6">
        <f t="shared" si="0"/>
        <v>17</v>
      </c>
      <c r="V2" s="6">
        <f>U2+1</f>
        <v>18</v>
      </c>
      <c r="W2" s="6">
        <f t="shared" si="0"/>
        <v>19</v>
      </c>
      <c r="X2" s="6">
        <f t="shared" si="0"/>
        <v>20</v>
      </c>
    </row>
    <row r="3" spans="1:24" s="10" customFormat="1" x14ac:dyDescent="0.3">
      <c r="A3" s="3" t="s">
        <v>0</v>
      </c>
      <c r="B3" s="3" t="s">
        <v>1</v>
      </c>
      <c r="C3" s="3" t="s">
        <v>2</v>
      </c>
      <c r="D3" s="3" t="s">
        <v>48</v>
      </c>
      <c r="E3" s="9">
        <v>46257</v>
      </c>
      <c r="F3" s="9">
        <v>46264</v>
      </c>
      <c r="G3" s="9">
        <v>46267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3">
      <c r="A4" s="1">
        <v>1</v>
      </c>
      <c r="B4" s="1">
        <v>25011001001</v>
      </c>
      <c r="C4" s="1" t="s">
        <v>3</v>
      </c>
      <c r="D4" s="8">
        <f>COUNTIF(E4:X4,"P")/(COUNTIF(E4:X4,"P")+COUNTIF(E4:X4,"A"))</f>
        <v>0.66666666666666663</v>
      </c>
      <c r="E4" s="7" t="s">
        <v>46</v>
      </c>
      <c r="F4" s="1" t="s">
        <v>47</v>
      </c>
      <c r="G4" s="1" t="s">
        <v>47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1">
        <f>A4+1</f>
        <v>2</v>
      </c>
      <c r="B5" s="11">
        <v>25011001003</v>
      </c>
      <c r="C5" s="1" t="s">
        <v>4</v>
      </c>
      <c r="D5" s="8">
        <f t="shared" ref="D5:D44" si="1">COUNTIF(E5:X5,"P")/(COUNTIF(E5:X5,"P")+COUNTIF(E5:X5,"A"))</f>
        <v>1</v>
      </c>
      <c r="E5" s="1" t="s">
        <v>47</v>
      </c>
      <c r="F5" s="1" t="s">
        <v>47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>
        <f t="shared" ref="A6:A44" si="2">A5+1</f>
        <v>3</v>
      </c>
      <c r="B6" s="1">
        <v>25011001004</v>
      </c>
      <c r="C6" s="1" t="s">
        <v>5</v>
      </c>
      <c r="D6" s="8">
        <f t="shared" si="1"/>
        <v>0.66666666666666663</v>
      </c>
      <c r="E6" s="1" t="s">
        <v>47</v>
      </c>
      <c r="F6" s="1" t="s">
        <v>47</v>
      </c>
      <c r="G6" s="1" t="s">
        <v>46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>
        <f t="shared" si="2"/>
        <v>4</v>
      </c>
      <c r="B7" s="1">
        <v>25011001005</v>
      </c>
      <c r="C7" s="1" t="s">
        <v>6</v>
      </c>
      <c r="D7" s="8">
        <f t="shared" si="1"/>
        <v>1</v>
      </c>
      <c r="E7" s="1" t="s">
        <v>47</v>
      </c>
      <c r="F7" s="1" t="s">
        <v>47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>
        <f t="shared" si="2"/>
        <v>5</v>
      </c>
      <c r="B8" s="1">
        <v>25011001006</v>
      </c>
      <c r="C8" s="1" t="s">
        <v>7</v>
      </c>
      <c r="D8" s="8">
        <f t="shared" si="1"/>
        <v>1</v>
      </c>
      <c r="E8" s="1" t="s">
        <v>47</v>
      </c>
      <c r="F8" s="1" t="s">
        <v>47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>
        <f t="shared" si="2"/>
        <v>6</v>
      </c>
      <c r="B9" s="1">
        <v>25011001007</v>
      </c>
      <c r="C9" s="1" t="s">
        <v>8</v>
      </c>
      <c r="D9" s="8">
        <f t="shared" si="1"/>
        <v>0.66666666666666663</v>
      </c>
      <c r="E9" s="1" t="s">
        <v>47</v>
      </c>
      <c r="F9" s="1" t="s">
        <v>47</v>
      </c>
      <c r="G9" s="1" t="s">
        <v>46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>
        <f t="shared" si="2"/>
        <v>7</v>
      </c>
      <c r="B10" s="1">
        <v>25011001008</v>
      </c>
      <c r="C10" s="1" t="s">
        <v>9</v>
      </c>
      <c r="D10" s="8">
        <f t="shared" si="1"/>
        <v>0.66666666666666663</v>
      </c>
      <c r="E10" s="1" t="s">
        <v>47</v>
      </c>
      <c r="F10" s="1" t="s">
        <v>47</v>
      </c>
      <c r="G10" s="1" t="s">
        <v>46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>
        <f t="shared" si="2"/>
        <v>8</v>
      </c>
      <c r="B11" s="1">
        <v>25011001009</v>
      </c>
      <c r="C11" s="1" t="s">
        <v>10</v>
      </c>
      <c r="D11" s="8">
        <f t="shared" si="1"/>
        <v>1</v>
      </c>
      <c r="E11" s="1" t="s">
        <v>47</v>
      </c>
      <c r="F11" s="1" t="s">
        <v>47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>
        <f t="shared" si="2"/>
        <v>9</v>
      </c>
      <c r="B12" s="1">
        <v>25011001011</v>
      </c>
      <c r="C12" s="1" t="s">
        <v>11</v>
      </c>
      <c r="D12" s="8">
        <f t="shared" si="1"/>
        <v>0.33333333333333331</v>
      </c>
      <c r="E12" s="7" t="s">
        <v>46</v>
      </c>
      <c r="F12" s="7" t="s">
        <v>46</v>
      </c>
      <c r="G12" s="1" t="s">
        <v>47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>
        <f t="shared" si="2"/>
        <v>10</v>
      </c>
      <c r="B13" s="1">
        <v>25011001013</v>
      </c>
      <c r="C13" s="1" t="s">
        <v>12</v>
      </c>
      <c r="D13" s="8">
        <f t="shared" si="1"/>
        <v>1</v>
      </c>
      <c r="E13" s="1" t="s">
        <v>47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>
        <f t="shared" si="2"/>
        <v>11</v>
      </c>
      <c r="B14" s="1">
        <v>25011001015</v>
      </c>
      <c r="C14" s="1" t="s">
        <v>13</v>
      </c>
      <c r="D14" s="8">
        <f t="shared" si="1"/>
        <v>0.5</v>
      </c>
      <c r="E14" s="7" t="s">
        <v>46</v>
      </c>
      <c r="F14" s="1" t="s">
        <v>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>
        <f t="shared" si="2"/>
        <v>12</v>
      </c>
      <c r="B15" s="1">
        <v>25011001016</v>
      </c>
      <c r="C15" s="1" t="s">
        <v>14</v>
      </c>
      <c r="D15" s="8">
        <f t="shared" si="1"/>
        <v>1</v>
      </c>
      <c r="E15" s="1" t="s">
        <v>47</v>
      </c>
      <c r="F15" s="1" t="s">
        <v>47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>
        <f t="shared" si="2"/>
        <v>13</v>
      </c>
      <c r="B16" s="1">
        <v>25011001017</v>
      </c>
      <c r="C16" s="1" t="s">
        <v>15</v>
      </c>
      <c r="D16" s="8">
        <f t="shared" si="1"/>
        <v>1</v>
      </c>
      <c r="E16" s="1" t="s">
        <v>47</v>
      </c>
      <c r="F16" s="1" t="s">
        <v>47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>
        <f t="shared" si="2"/>
        <v>14</v>
      </c>
      <c r="B17" s="1">
        <v>25011001018</v>
      </c>
      <c r="C17" s="1" t="s">
        <v>16</v>
      </c>
      <c r="D17" s="8">
        <f t="shared" si="1"/>
        <v>0.33333333333333331</v>
      </c>
      <c r="E17" s="1" t="s">
        <v>47</v>
      </c>
      <c r="F17" s="7" t="s">
        <v>46</v>
      </c>
      <c r="G17" s="1" t="s">
        <v>46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>
        <f t="shared" si="2"/>
        <v>15</v>
      </c>
      <c r="B18" s="1">
        <v>25011001019</v>
      </c>
      <c r="C18" s="1" t="s">
        <v>17</v>
      </c>
      <c r="D18" s="8">
        <f t="shared" si="1"/>
        <v>1</v>
      </c>
      <c r="E18" s="1" t="s">
        <v>47</v>
      </c>
      <c r="F18" s="1" t="s">
        <v>47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>
        <f t="shared" si="2"/>
        <v>16</v>
      </c>
      <c r="B19" s="1">
        <v>25011001020</v>
      </c>
      <c r="C19" s="1" t="s">
        <v>18</v>
      </c>
      <c r="D19" s="8">
        <f t="shared" si="1"/>
        <v>0.66666666666666663</v>
      </c>
      <c r="E19" s="1" t="s">
        <v>47</v>
      </c>
      <c r="F19" s="1" t="s">
        <v>47</v>
      </c>
      <c r="G19" s="1" t="s">
        <v>46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>
        <f t="shared" si="2"/>
        <v>17</v>
      </c>
      <c r="B20" s="1">
        <v>25011001021</v>
      </c>
      <c r="C20" s="1" t="s">
        <v>19</v>
      </c>
      <c r="D20" s="8">
        <f t="shared" si="1"/>
        <v>1</v>
      </c>
      <c r="E20" s="1" t="s">
        <v>47</v>
      </c>
      <c r="F20" s="1" t="s">
        <v>47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>
        <f t="shared" si="2"/>
        <v>18</v>
      </c>
      <c r="B21" s="1">
        <v>25011001022</v>
      </c>
      <c r="C21" s="1" t="s">
        <v>20</v>
      </c>
      <c r="D21" s="8">
        <f t="shared" si="1"/>
        <v>1</v>
      </c>
      <c r="E21" s="1" t="s">
        <v>47</v>
      </c>
      <c r="F21" s="1" t="s">
        <v>47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>
        <f t="shared" si="2"/>
        <v>19</v>
      </c>
      <c r="B22" s="1">
        <v>25011001023</v>
      </c>
      <c r="C22" s="1" t="s">
        <v>21</v>
      </c>
      <c r="D22" s="8">
        <f t="shared" si="1"/>
        <v>1</v>
      </c>
      <c r="E22" s="1" t="s">
        <v>47</v>
      </c>
      <c r="F22" s="1" t="s">
        <v>47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>
        <f t="shared" si="2"/>
        <v>20</v>
      </c>
      <c r="B23" s="1">
        <v>25011001024</v>
      </c>
      <c r="C23" s="1" t="s">
        <v>22</v>
      </c>
      <c r="D23" s="8">
        <f t="shared" si="1"/>
        <v>0.5</v>
      </c>
      <c r="E23" s="1" t="s">
        <v>47</v>
      </c>
      <c r="F23" s="7" t="s">
        <v>46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>
        <f t="shared" si="2"/>
        <v>21</v>
      </c>
      <c r="B24" s="1">
        <v>25011001025</v>
      </c>
      <c r="C24" s="1" t="s">
        <v>23</v>
      </c>
      <c r="D24" s="8">
        <f t="shared" si="1"/>
        <v>0.5</v>
      </c>
      <c r="E24" s="1" t="s">
        <v>47</v>
      </c>
      <c r="F24" s="7" t="s">
        <v>46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>
        <f t="shared" si="2"/>
        <v>22</v>
      </c>
      <c r="B25" s="1">
        <v>25011001026</v>
      </c>
      <c r="C25" s="1" t="s">
        <v>24</v>
      </c>
      <c r="D25" s="8">
        <f t="shared" si="1"/>
        <v>0.5</v>
      </c>
      <c r="E25" s="7" t="s">
        <v>46</v>
      </c>
      <c r="F25" s="1" t="s">
        <v>47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>
        <f t="shared" si="2"/>
        <v>23</v>
      </c>
      <c r="B26" s="1">
        <v>25011001027</v>
      </c>
      <c r="C26" s="1" t="s">
        <v>25</v>
      </c>
      <c r="D26" s="8">
        <f t="shared" si="1"/>
        <v>1</v>
      </c>
      <c r="E26" s="1" t="s">
        <v>47</v>
      </c>
      <c r="F26" s="1" t="s">
        <v>47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>
        <f t="shared" si="2"/>
        <v>24</v>
      </c>
      <c r="B27" s="1">
        <v>25011001028</v>
      </c>
      <c r="C27" s="1" t="s">
        <v>26</v>
      </c>
      <c r="D27" s="8">
        <f t="shared" si="1"/>
        <v>1</v>
      </c>
      <c r="E27" s="1" t="s">
        <v>47</v>
      </c>
      <c r="F27" s="1" t="s">
        <v>47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>
        <f t="shared" si="2"/>
        <v>25</v>
      </c>
      <c r="B28" s="1">
        <v>25011001029</v>
      </c>
      <c r="C28" s="1" t="s">
        <v>27</v>
      </c>
      <c r="D28" s="8">
        <f t="shared" si="1"/>
        <v>1</v>
      </c>
      <c r="E28" s="1" t="s">
        <v>47</v>
      </c>
      <c r="F28" s="1" t="s">
        <v>47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>
        <f t="shared" si="2"/>
        <v>26</v>
      </c>
      <c r="B29" s="1">
        <v>25011001030</v>
      </c>
      <c r="C29" s="1" t="s">
        <v>28</v>
      </c>
      <c r="D29" s="8">
        <f t="shared" si="1"/>
        <v>1</v>
      </c>
      <c r="E29" s="1" t="s">
        <v>47</v>
      </c>
      <c r="F29" s="1" t="s">
        <v>47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>
        <f t="shared" si="2"/>
        <v>27</v>
      </c>
      <c r="B30" s="1">
        <v>25011001031</v>
      </c>
      <c r="C30" s="1" t="s">
        <v>29</v>
      </c>
      <c r="D30" s="8">
        <f t="shared" si="1"/>
        <v>1</v>
      </c>
      <c r="E30" s="1" t="s">
        <v>47</v>
      </c>
      <c r="F30" s="1" t="s">
        <v>47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>
        <f t="shared" si="2"/>
        <v>28</v>
      </c>
      <c r="B31" s="1">
        <v>25011001032</v>
      </c>
      <c r="C31" s="1" t="s">
        <v>30</v>
      </c>
      <c r="D31" s="8">
        <f t="shared" si="1"/>
        <v>0.33333333333333331</v>
      </c>
      <c r="E31" s="1" t="s">
        <v>47</v>
      </c>
      <c r="F31" s="7" t="s">
        <v>46</v>
      </c>
      <c r="G31" s="1" t="s">
        <v>46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>
        <f t="shared" si="2"/>
        <v>29</v>
      </c>
      <c r="B32" s="1">
        <v>25011001033</v>
      </c>
      <c r="C32" s="1" t="s">
        <v>31</v>
      </c>
      <c r="D32" s="8">
        <f t="shared" si="1"/>
        <v>0.66666666666666663</v>
      </c>
      <c r="E32" s="1" t="s">
        <v>47</v>
      </c>
      <c r="F32" s="1" t="s">
        <v>47</v>
      </c>
      <c r="G32" s="1" t="s">
        <v>46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>
        <f t="shared" si="2"/>
        <v>30</v>
      </c>
      <c r="B33" s="1">
        <v>25011001034</v>
      </c>
      <c r="C33" s="1" t="s">
        <v>32</v>
      </c>
      <c r="D33" s="8">
        <f t="shared" si="1"/>
        <v>1</v>
      </c>
      <c r="E33" s="1" t="s">
        <v>47</v>
      </c>
      <c r="F33" s="1" t="s">
        <v>47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1">
        <f t="shared" si="2"/>
        <v>31</v>
      </c>
      <c r="B34" s="1">
        <v>25011001036</v>
      </c>
      <c r="C34" s="1" t="s">
        <v>33</v>
      </c>
      <c r="D34" s="8">
        <f t="shared" si="1"/>
        <v>1</v>
      </c>
      <c r="E34" s="1" t="s">
        <v>47</v>
      </c>
      <c r="F34" s="1" t="s">
        <v>47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">
      <c r="A35" s="1">
        <f t="shared" si="2"/>
        <v>32</v>
      </c>
      <c r="B35" s="1">
        <v>25011001037</v>
      </c>
      <c r="C35" s="1" t="s">
        <v>34</v>
      </c>
      <c r="D35" s="8">
        <f t="shared" si="1"/>
        <v>0.5</v>
      </c>
      <c r="E35" s="1" t="s">
        <v>47</v>
      </c>
      <c r="F35" s="7" t="s">
        <v>46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11">
        <f t="shared" si="2"/>
        <v>33</v>
      </c>
      <c r="B36" s="11">
        <v>25011001038</v>
      </c>
      <c r="C36" s="1" t="s">
        <v>35</v>
      </c>
      <c r="D36" s="8">
        <f t="shared" si="1"/>
        <v>1</v>
      </c>
      <c r="E36" s="1" t="s">
        <v>47</v>
      </c>
      <c r="F36" s="1" t="s">
        <v>47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>
        <f t="shared" si="2"/>
        <v>34</v>
      </c>
      <c r="B37" s="1">
        <v>25011001039</v>
      </c>
      <c r="C37" s="1" t="s">
        <v>36</v>
      </c>
      <c r="D37" s="8">
        <f t="shared" si="1"/>
        <v>1</v>
      </c>
      <c r="E37" s="1" t="s">
        <v>47</v>
      </c>
      <c r="F37" s="1" t="s">
        <v>47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>
        <f t="shared" si="2"/>
        <v>35</v>
      </c>
      <c r="B38" s="1">
        <v>25011001040</v>
      </c>
      <c r="C38" s="1" t="s">
        <v>37</v>
      </c>
      <c r="D38" s="8">
        <f t="shared" si="1"/>
        <v>1</v>
      </c>
      <c r="E38" s="1" t="s">
        <v>47</v>
      </c>
      <c r="F38" s="1" t="s">
        <v>47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>
        <f t="shared" si="2"/>
        <v>36</v>
      </c>
      <c r="B39" s="1">
        <v>24011001007</v>
      </c>
      <c r="C39" s="1" t="s">
        <v>50</v>
      </c>
      <c r="D39" s="8">
        <f t="shared" si="1"/>
        <v>0.33333333333333331</v>
      </c>
      <c r="E39" s="7" t="s">
        <v>46</v>
      </c>
      <c r="F39" s="1" t="s">
        <v>47</v>
      </c>
      <c r="G39" s="1" t="s">
        <v>46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>
        <f t="shared" si="2"/>
        <v>37</v>
      </c>
      <c r="B40" s="1">
        <v>24011001026</v>
      </c>
      <c r="C40" s="1" t="s">
        <v>38</v>
      </c>
      <c r="D40" s="8">
        <f t="shared" si="1"/>
        <v>0.33333333333333331</v>
      </c>
      <c r="E40" s="1" t="s">
        <v>47</v>
      </c>
      <c r="F40" s="7" t="s">
        <v>46</v>
      </c>
      <c r="G40" s="1" t="s">
        <v>46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>
        <f t="shared" si="2"/>
        <v>38</v>
      </c>
      <c r="B41" s="1">
        <v>24011001034</v>
      </c>
      <c r="C41" s="1" t="s">
        <v>39</v>
      </c>
      <c r="D41" s="8">
        <f t="shared" si="1"/>
        <v>0.33333333333333331</v>
      </c>
      <c r="E41" s="7" t="s">
        <v>46</v>
      </c>
      <c r="F41" s="1" t="s">
        <v>47</v>
      </c>
      <c r="G41" s="1" t="s">
        <v>46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1">
        <f t="shared" si="2"/>
        <v>39</v>
      </c>
      <c r="B42" s="1">
        <v>23011001003</v>
      </c>
      <c r="C42" s="1" t="s">
        <v>40</v>
      </c>
      <c r="D42" s="8">
        <f t="shared" si="1"/>
        <v>0</v>
      </c>
      <c r="E42" s="7" t="s">
        <v>46</v>
      </c>
      <c r="F42" s="7" t="s">
        <v>46</v>
      </c>
      <c r="G42" s="1" t="s">
        <v>46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1">
        <f t="shared" si="2"/>
        <v>40</v>
      </c>
      <c r="B43" s="1">
        <v>23011001016</v>
      </c>
      <c r="C43" s="1" t="s">
        <v>41</v>
      </c>
      <c r="D43" s="8">
        <f t="shared" si="1"/>
        <v>0.66666666666666663</v>
      </c>
      <c r="E43" s="1" t="s">
        <v>47</v>
      </c>
      <c r="F43" s="1" t="s">
        <v>47</v>
      </c>
      <c r="G43" s="1" t="s">
        <v>46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1">
        <f t="shared" si="2"/>
        <v>41</v>
      </c>
      <c r="B44" s="1">
        <v>23011001023</v>
      </c>
      <c r="C44" s="1" t="s">
        <v>42</v>
      </c>
      <c r="D44" s="8">
        <f t="shared" si="1"/>
        <v>0.66666666666666663</v>
      </c>
      <c r="E44" s="1" t="s">
        <v>47</v>
      </c>
      <c r="F44" s="1" t="s">
        <v>47</v>
      </c>
      <c r="G44" s="1" t="s">
        <v>46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</sheetData>
  <mergeCells count="1">
    <mergeCell ref="A1:B1"/>
  </mergeCells>
  <conditionalFormatting sqref="D4:D44">
    <cfRule type="cellIs" dxfId="1" priority="1" operator="greaterThan">
      <formula>0.9</formula>
    </cfRule>
    <cfRule type="cellIs" dxfId="0" priority="2" operator="lessThan">
      <formula>0.8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F8F3-1BFE-4AF0-A2BB-D8B7450A48F3}">
  <dimension ref="A1:I44"/>
  <sheetViews>
    <sheetView zoomScale="104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J9" sqref="J9"/>
    </sheetView>
  </sheetViews>
  <sheetFormatPr defaultRowHeight="19.2" x14ac:dyDescent="0.3"/>
  <cols>
    <col min="1" max="1" width="6.21875" style="2" bestFit="1" customWidth="1"/>
    <col min="2" max="2" width="14" style="2" bestFit="1" customWidth="1"/>
    <col min="3" max="3" width="49.21875" style="2" bestFit="1" customWidth="1"/>
    <col min="4" max="4" width="17.33203125" style="2" bestFit="1" customWidth="1"/>
    <col min="5" max="7" width="15.44140625" style="2" bestFit="1" customWidth="1"/>
    <col min="8" max="8" width="3.5546875" style="2" bestFit="1" customWidth="1"/>
    <col min="9" max="9" width="4.77734375" style="2" bestFit="1" customWidth="1"/>
    <col min="10" max="16384" width="8.88671875" style="2"/>
  </cols>
  <sheetData>
    <row r="1" spans="1:9" x14ac:dyDescent="0.3">
      <c r="A1" s="16" t="s">
        <v>45</v>
      </c>
      <c r="B1" s="16"/>
      <c r="C1" s="4" t="s">
        <v>43</v>
      </c>
      <c r="D1" s="12" t="s">
        <v>51</v>
      </c>
      <c r="E1" s="12" t="s">
        <v>52</v>
      </c>
      <c r="F1" s="12" t="s">
        <v>53</v>
      </c>
      <c r="G1" s="12" t="s">
        <v>54</v>
      </c>
      <c r="H1" s="17" t="s">
        <v>55</v>
      </c>
      <c r="I1" s="17"/>
    </row>
    <row r="2" spans="1:9" x14ac:dyDescent="0.3">
      <c r="A2" s="4" t="s">
        <v>44</v>
      </c>
      <c r="B2" s="4">
        <f>COUNT(A4:A44)</f>
        <v>41</v>
      </c>
      <c r="C2" s="4" t="s">
        <v>49</v>
      </c>
      <c r="D2" s="12" t="s">
        <v>56</v>
      </c>
      <c r="E2" s="12"/>
      <c r="F2" s="12"/>
      <c r="G2" s="12"/>
      <c r="H2" s="17"/>
      <c r="I2" s="17"/>
    </row>
    <row r="3" spans="1:9" s="10" customFormat="1" x14ac:dyDescent="0.3">
      <c r="A3" s="3" t="s">
        <v>0</v>
      </c>
      <c r="B3" s="3" t="s">
        <v>1</v>
      </c>
      <c r="C3" s="3" t="s">
        <v>2</v>
      </c>
      <c r="D3" s="13" t="s">
        <v>57</v>
      </c>
      <c r="E3" s="13" t="s">
        <v>57</v>
      </c>
      <c r="F3" s="13" t="s">
        <v>57</v>
      </c>
      <c r="G3" s="13" t="s">
        <v>57</v>
      </c>
      <c r="H3" s="14">
        <v>20</v>
      </c>
      <c r="I3" s="14">
        <v>7.5</v>
      </c>
    </row>
    <row r="4" spans="1:9" x14ac:dyDescent="0.3">
      <c r="A4" s="1">
        <v>1</v>
      </c>
      <c r="B4" s="1">
        <v>25011001001</v>
      </c>
      <c r="C4" s="1" t="s">
        <v>3</v>
      </c>
      <c r="D4" s="15"/>
      <c r="E4" s="15"/>
      <c r="F4" s="15"/>
      <c r="G4" s="15"/>
      <c r="H4" s="15">
        <f>SUM(D4:G4)</f>
        <v>0</v>
      </c>
      <c r="I4" s="15">
        <f>(H4/20)*7.5</f>
        <v>0</v>
      </c>
    </row>
    <row r="5" spans="1:9" x14ac:dyDescent="0.3">
      <c r="A5" s="11">
        <f>A4+1</f>
        <v>2</v>
      </c>
      <c r="B5" s="11">
        <v>25011001003</v>
      </c>
      <c r="C5" s="1" t="s">
        <v>4</v>
      </c>
      <c r="D5" s="15"/>
      <c r="E5" s="15"/>
      <c r="F5" s="15"/>
      <c r="G5" s="15"/>
      <c r="H5" s="15">
        <f t="shared" ref="H5:H31" si="0">SUM(D5:G5)</f>
        <v>0</v>
      </c>
      <c r="I5" s="15">
        <f t="shared" ref="I5:I44" si="1">(H5/20)*7.5</f>
        <v>0</v>
      </c>
    </row>
    <row r="6" spans="1:9" x14ac:dyDescent="0.3">
      <c r="A6" s="1">
        <f t="shared" ref="A6:A44" si="2">A5+1</f>
        <v>3</v>
      </c>
      <c r="B6" s="1">
        <v>25011001004</v>
      </c>
      <c r="C6" s="1" t="s">
        <v>5</v>
      </c>
      <c r="D6" s="15"/>
      <c r="E6" s="15"/>
      <c r="F6" s="15"/>
      <c r="G6" s="15"/>
      <c r="H6" s="15">
        <f t="shared" si="0"/>
        <v>0</v>
      </c>
      <c r="I6" s="15">
        <f t="shared" si="1"/>
        <v>0</v>
      </c>
    </row>
    <row r="7" spans="1:9" x14ac:dyDescent="0.3">
      <c r="A7" s="1">
        <f t="shared" si="2"/>
        <v>4</v>
      </c>
      <c r="B7" s="1">
        <v>25011001005</v>
      </c>
      <c r="C7" s="1" t="s">
        <v>6</v>
      </c>
      <c r="D7" s="15"/>
      <c r="E7" s="15"/>
      <c r="F7" s="15"/>
      <c r="G7" s="15"/>
      <c r="H7" s="15">
        <f t="shared" si="0"/>
        <v>0</v>
      </c>
      <c r="I7" s="15">
        <f t="shared" si="1"/>
        <v>0</v>
      </c>
    </row>
    <row r="8" spans="1:9" x14ac:dyDescent="0.3">
      <c r="A8" s="1">
        <f t="shared" si="2"/>
        <v>5</v>
      </c>
      <c r="B8" s="1">
        <v>25011001006</v>
      </c>
      <c r="C8" s="1" t="s">
        <v>7</v>
      </c>
      <c r="D8" s="15"/>
      <c r="E8" s="15"/>
      <c r="F8" s="15"/>
      <c r="G8" s="15"/>
      <c r="H8" s="15">
        <f t="shared" si="0"/>
        <v>0</v>
      </c>
      <c r="I8" s="15">
        <f t="shared" si="1"/>
        <v>0</v>
      </c>
    </row>
    <row r="9" spans="1:9" x14ac:dyDescent="0.3">
      <c r="A9" s="1">
        <f t="shared" si="2"/>
        <v>6</v>
      </c>
      <c r="B9" s="1">
        <v>25011001007</v>
      </c>
      <c r="C9" s="1" t="s">
        <v>8</v>
      </c>
      <c r="D9" s="15"/>
      <c r="E9" s="15"/>
      <c r="F9" s="15"/>
      <c r="G9" s="15"/>
      <c r="H9" s="15">
        <f t="shared" si="0"/>
        <v>0</v>
      </c>
      <c r="I9" s="15">
        <f t="shared" si="1"/>
        <v>0</v>
      </c>
    </row>
    <row r="10" spans="1:9" x14ac:dyDescent="0.3">
      <c r="A10" s="1">
        <f t="shared" si="2"/>
        <v>7</v>
      </c>
      <c r="B10" s="1">
        <v>25011001008</v>
      </c>
      <c r="C10" s="1" t="s">
        <v>9</v>
      </c>
      <c r="D10" s="15"/>
      <c r="E10" s="15"/>
      <c r="F10" s="15"/>
      <c r="G10" s="15"/>
      <c r="H10" s="15">
        <f t="shared" si="0"/>
        <v>0</v>
      </c>
      <c r="I10" s="15">
        <f t="shared" si="1"/>
        <v>0</v>
      </c>
    </row>
    <row r="11" spans="1:9" x14ac:dyDescent="0.3">
      <c r="A11" s="1">
        <f t="shared" si="2"/>
        <v>8</v>
      </c>
      <c r="B11" s="1">
        <v>25011001009</v>
      </c>
      <c r="C11" s="1" t="s">
        <v>10</v>
      </c>
      <c r="D11" s="15"/>
      <c r="E11" s="15"/>
      <c r="F11" s="15"/>
      <c r="G11" s="15"/>
      <c r="H11" s="15">
        <f t="shared" si="0"/>
        <v>0</v>
      </c>
      <c r="I11" s="15">
        <f t="shared" si="1"/>
        <v>0</v>
      </c>
    </row>
    <row r="12" spans="1:9" x14ac:dyDescent="0.3">
      <c r="A12" s="1">
        <f t="shared" si="2"/>
        <v>9</v>
      </c>
      <c r="B12" s="1">
        <v>25011001011</v>
      </c>
      <c r="C12" s="1" t="s">
        <v>11</v>
      </c>
      <c r="D12" s="15"/>
      <c r="E12" s="15"/>
      <c r="F12" s="15"/>
      <c r="G12" s="15"/>
      <c r="H12" s="15">
        <f t="shared" si="0"/>
        <v>0</v>
      </c>
      <c r="I12" s="15">
        <f t="shared" si="1"/>
        <v>0</v>
      </c>
    </row>
    <row r="13" spans="1:9" x14ac:dyDescent="0.3">
      <c r="A13" s="1">
        <f t="shared" si="2"/>
        <v>10</v>
      </c>
      <c r="B13" s="1">
        <v>25011001013</v>
      </c>
      <c r="C13" s="1" t="s">
        <v>12</v>
      </c>
      <c r="D13" s="15"/>
      <c r="E13" s="15"/>
      <c r="F13" s="15"/>
      <c r="G13" s="15"/>
      <c r="H13" s="15">
        <f t="shared" si="0"/>
        <v>0</v>
      </c>
      <c r="I13" s="15">
        <f t="shared" si="1"/>
        <v>0</v>
      </c>
    </row>
    <row r="14" spans="1:9" x14ac:dyDescent="0.3">
      <c r="A14" s="1">
        <f t="shared" si="2"/>
        <v>11</v>
      </c>
      <c r="B14" s="1">
        <v>25011001015</v>
      </c>
      <c r="C14" s="1" t="s">
        <v>13</v>
      </c>
      <c r="D14" s="15"/>
      <c r="E14" s="15"/>
      <c r="F14" s="15"/>
      <c r="G14" s="15"/>
      <c r="H14" s="15">
        <f t="shared" si="0"/>
        <v>0</v>
      </c>
      <c r="I14" s="15">
        <f t="shared" si="1"/>
        <v>0</v>
      </c>
    </row>
    <row r="15" spans="1:9" x14ac:dyDescent="0.3">
      <c r="A15" s="1">
        <f t="shared" si="2"/>
        <v>12</v>
      </c>
      <c r="B15" s="1">
        <v>25011001016</v>
      </c>
      <c r="C15" s="1" t="s">
        <v>14</v>
      </c>
      <c r="D15" s="15"/>
      <c r="E15" s="15"/>
      <c r="F15" s="15"/>
      <c r="G15" s="15"/>
      <c r="H15" s="15">
        <f t="shared" si="0"/>
        <v>0</v>
      </c>
      <c r="I15" s="15">
        <f t="shared" si="1"/>
        <v>0</v>
      </c>
    </row>
    <row r="16" spans="1:9" x14ac:dyDescent="0.3">
      <c r="A16" s="1">
        <f t="shared" si="2"/>
        <v>13</v>
      </c>
      <c r="B16" s="1">
        <v>25011001017</v>
      </c>
      <c r="C16" s="1" t="s">
        <v>15</v>
      </c>
      <c r="D16" s="15"/>
      <c r="E16" s="15"/>
      <c r="F16" s="15"/>
      <c r="G16" s="15"/>
      <c r="H16" s="15">
        <f t="shared" si="0"/>
        <v>0</v>
      </c>
      <c r="I16" s="15">
        <f t="shared" si="1"/>
        <v>0</v>
      </c>
    </row>
    <row r="17" spans="1:9" x14ac:dyDescent="0.3">
      <c r="A17" s="1">
        <f t="shared" si="2"/>
        <v>14</v>
      </c>
      <c r="B17" s="1">
        <v>25011001018</v>
      </c>
      <c r="C17" s="1" t="s">
        <v>16</v>
      </c>
      <c r="D17" s="15"/>
      <c r="E17" s="15"/>
      <c r="F17" s="15"/>
      <c r="G17" s="15"/>
      <c r="H17" s="15">
        <f t="shared" si="0"/>
        <v>0</v>
      </c>
      <c r="I17" s="15">
        <f t="shared" si="1"/>
        <v>0</v>
      </c>
    </row>
    <row r="18" spans="1:9" x14ac:dyDescent="0.3">
      <c r="A18" s="1">
        <f t="shared" si="2"/>
        <v>15</v>
      </c>
      <c r="B18" s="1">
        <v>25011001019</v>
      </c>
      <c r="C18" s="1" t="s">
        <v>17</v>
      </c>
      <c r="D18" s="15"/>
      <c r="E18" s="15"/>
      <c r="F18" s="15"/>
      <c r="G18" s="15"/>
      <c r="H18" s="15">
        <f t="shared" si="0"/>
        <v>0</v>
      </c>
      <c r="I18" s="15">
        <f t="shared" si="1"/>
        <v>0</v>
      </c>
    </row>
    <row r="19" spans="1:9" x14ac:dyDescent="0.3">
      <c r="A19" s="1">
        <f t="shared" si="2"/>
        <v>16</v>
      </c>
      <c r="B19" s="1">
        <v>25011001020</v>
      </c>
      <c r="C19" s="1" t="s">
        <v>18</v>
      </c>
      <c r="D19" s="15"/>
      <c r="E19" s="15"/>
      <c r="F19" s="15"/>
      <c r="G19" s="15"/>
      <c r="H19" s="15">
        <f t="shared" si="0"/>
        <v>0</v>
      </c>
      <c r="I19" s="15">
        <f t="shared" si="1"/>
        <v>0</v>
      </c>
    </row>
    <row r="20" spans="1:9" x14ac:dyDescent="0.3">
      <c r="A20" s="1">
        <f t="shared" si="2"/>
        <v>17</v>
      </c>
      <c r="B20" s="1">
        <v>25011001021</v>
      </c>
      <c r="C20" s="1" t="s">
        <v>19</v>
      </c>
      <c r="D20" s="15"/>
      <c r="E20" s="15"/>
      <c r="F20" s="15"/>
      <c r="G20" s="15"/>
      <c r="H20" s="15">
        <f t="shared" si="0"/>
        <v>0</v>
      </c>
      <c r="I20" s="15">
        <f t="shared" si="1"/>
        <v>0</v>
      </c>
    </row>
    <row r="21" spans="1:9" x14ac:dyDescent="0.3">
      <c r="A21" s="1">
        <f t="shared" si="2"/>
        <v>18</v>
      </c>
      <c r="B21" s="1">
        <v>25011001022</v>
      </c>
      <c r="C21" s="1" t="s">
        <v>20</v>
      </c>
      <c r="D21" s="15"/>
      <c r="E21" s="15"/>
      <c r="F21" s="15"/>
      <c r="G21" s="15"/>
      <c r="H21" s="15">
        <f t="shared" si="0"/>
        <v>0</v>
      </c>
      <c r="I21" s="15">
        <f t="shared" si="1"/>
        <v>0</v>
      </c>
    </row>
    <row r="22" spans="1:9" x14ac:dyDescent="0.3">
      <c r="A22" s="1">
        <f t="shared" si="2"/>
        <v>19</v>
      </c>
      <c r="B22" s="1">
        <v>25011001023</v>
      </c>
      <c r="C22" s="1" t="s">
        <v>21</v>
      </c>
      <c r="D22" s="15"/>
      <c r="E22" s="15"/>
      <c r="F22" s="15"/>
      <c r="G22" s="15"/>
      <c r="H22" s="15">
        <f t="shared" si="0"/>
        <v>0</v>
      </c>
      <c r="I22" s="15">
        <f t="shared" si="1"/>
        <v>0</v>
      </c>
    </row>
    <row r="23" spans="1:9" x14ac:dyDescent="0.3">
      <c r="A23" s="1">
        <f t="shared" si="2"/>
        <v>20</v>
      </c>
      <c r="B23" s="1">
        <v>25011001024</v>
      </c>
      <c r="C23" s="1" t="s">
        <v>22</v>
      </c>
      <c r="D23" s="15"/>
      <c r="E23" s="15"/>
      <c r="F23" s="15"/>
      <c r="G23" s="15"/>
      <c r="H23" s="15">
        <f t="shared" si="0"/>
        <v>0</v>
      </c>
      <c r="I23" s="15">
        <f t="shared" si="1"/>
        <v>0</v>
      </c>
    </row>
    <row r="24" spans="1:9" x14ac:dyDescent="0.3">
      <c r="A24" s="1">
        <f t="shared" si="2"/>
        <v>21</v>
      </c>
      <c r="B24" s="1">
        <v>25011001025</v>
      </c>
      <c r="C24" s="1" t="s">
        <v>23</v>
      </c>
      <c r="D24" s="15"/>
      <c r="E24" s="15"/>
      <c r="F24" s="15"/>
      <c r="G24" s="15"/>
      <c r="H24" s="15">
        <f t="shared" si="0"/>
        <v>0</v>
      </c>
      <c r="I24" s="15">
        <f t="shared" si="1"/>
        <v>0</v>
      </c>
    </row>
    <row r="25" spans="1:9" x14ac:dyDescent="0.3">
      <c r="A25" s="1">
        <f t="shared" si="2"/>
        <v>22</v>
      </c>
      <c r="B25" s="1">
        <v>25011001026</v>
      </c>
      <c r="C25" s="1" t="s">
        <v>24</v>
      </c>
      <c r="D25" s="15"/>
      <c r="E25" s="15"/>
      <c r="F25" s="15"/>
      <c r="G25" s="15"/>
      <c r="H25" s="15">
        <f t="shared" si="0"/>
        <v>0</v>
      </c>
      <c r="I25" s="15">
        <f t="shared" si="1"/>
        <v>0</v>
      </c>
    </row>
    <row r="26" spans="1:9" x14ac:dyDescent="0.3">
      <c r="A26" s="1">
        <f t="shared" si="2"/>
        <v>23</v>
      </c>
      <c r="B26" s="1">
        <v>25011001027</v>
      </c>
      <c r="C26" s="1" t="s">
        <v>25</v>
      </c>
      <c r="D26" s="15"/>
      <c r="E26" s="15"/>
      <c r="F26" s="15"/>
      <c r="G26" s="15"/>
      <c r="H26" s="15">
        <f t="shared" si="0"/>
        <v>0</v>
      </c>
      <c r="I26" s="15">
        <f t="shared" si="1"/>
        <v>0</v>
      </c>
    </row>
    <row r="27" spans="1:9" x14ac:dyDescent="0.3">
      <c r="A27" s="1">
        <f t="shared" si="2"/>
        <v>24</v>
      </c>
      <c r="B27" s="1">
        <v>25011001028</v>
      </c>
      <c r="C27" s="1" t="s">
        <v>26</v>
      </c>
      <c r="D27" s="15"/>
      <c r="E27" s="15"/>
      <c r="F27" s="15"/>
      <c r="G27" s="15"/>
      <c r="H27" s="15">
        <f t="shared" si="0"/>
        <v>0</v>
      </c>
      <c r="I27" s="15">
        <f t="shared" si="1"/>
        <v>0</v>
      </c>
    </row>
    <row r="28" spans="1:9" x14ac:dyDescent="0.3">
      <c r="A28" s="1">
        <f t="shared" si="2"/>
        <v>25</v>
      </c>
      <c r="B28" s="1">
        <v>25011001029</v>
      </c>
      <c r="C28" s="1" t="s">
        <v>27</v>
      </c>
      <c r="D28" s="15"/>
      <c r="E28" s="15"/>
      <c r="F28" s="15"/>
      <c r="G28" s="15"/>
      <c r="H28" s="15">
        <f t="shared" si="0"/>
        <v>0</v>
      </c>
      <c r="I28" s="15">
        <f t="shared" si="1"/>
        <v>0</v>
      </c>
    </row>
    <row r="29" spans="1:9" x14ac:dyDescent="0.3">
      <c r="A29" s="1">
        <f t="shared" si="2"/>
        <v>26</v>
      </c>
      <c r="B29" s="1">
        <v>25011001030</v>
      </c>
      <c r="C29" s="1" t="s">
        <v>28</v>
      </c>
      <c r="D29" s="15"/>
      <c r="E29" s="15"/>
      <c r="F29" s="15"/>
      <c r="G29" s="15"/>
      <c r="H29" s="15">
        <f t="shared" si="0"/>
        <v>0</v>
      </c>
      <c r="I29" s="15">
        <f t="shared" si="1"/>
        <v>0</v>
      </c>
    </row>
    <row r="30" spans="1:9" x14ac:dyDescent="0.3">
      <c r="A30" s="1">
        <f t="shared" si="2"/>
        <v>27</v>
      </c>
      <c r="B30" s="1">
        <v>25011001031</v>
      </c>
      <c r="C30" s="1" t="s">
        <v>29</v>
      </c>
      <c r="D30" s="15"/>
      <c r="E30" s="15"/>
      <c r="F30" s="15"/>
      <c r="G30" s="15"/>
      <c r="H30" s="15">
        <f t="shared" si="0"/>
        <v>0</v>
      </c>
      <c r="I30" s="15">
        <f t="shared" si="1"/>
        <v>0</v>
      </c>
    </row>
    <row r="31" spans="1:9" x14ac:dyDescent="0.3">
      <c r="A31" s="1">
        <f t="shared" si="2"/>
        <v>28</v>
      </c>
      <c r="B31" s="1">
        <v>25011001032</v>
      </c>
      <c r="C31" s="1" t="s">
        <v>30</v>
      </c>
      <c r="D31" s="15"/>
      <c r="E31" s="15"/>
      <c r="F31" s="15"/>
      <c r="G31" s="15"/>
      <c r="H31" s="15">
        <f t="shared" si="0"/>
        <v>0</v>
      </c>
      <c r="I31" s="15">
        <f t="shared" si="1"/>
        <v>0</v>
      </c>
    </row>
    <row r="32" spans="1:9" x14ac:dyDescent="0.3">
      <c r="A32" s="1">
        <f t="shared" si="2"/>
        <v>29</v>
      </c>
      <c r="B32" s="1">
        <v>25011001033</v>
      </c>
      <c r="C32" s="1" t="s">
        <v>31</v>
      </c>
      <c r="D32" s="1"/>
      <c r="E32" s="1"/>
      <c r="F32" s="1"/>
      <c r="G32" s="1"/>
      <c r="H32" s="15">
        <f t="shared" ref="H32:H44" si="3">SUM(D32:G32)</f>
        <v>0</v>
      </c>
      <c r="I32" s="15">
        <f t="shared" si="1"/>
        <v>0</v>
      </c>
    </row>
    <row r="33" spans="1:9" x14ac:dyDescent="0.3">
      <c r="A33" s="1">
        <f t="shared" si="2"/>
        <v>30</v>
      </c>
      <c r="B33" s="1">
        <v>25011001034</v>
      </c>
      <c r="C33" s="1" t="s">
        <v>32</v>
      </c>
      <c r="D33" s="1"/>
      <c r="E33" s="1"/>
      <c r="F33" s="1"/>
      <c r="G33" s="1"/>
      <c r="H33" s="15">
        <f t="shared" si="3"/>
        <v>0</v>
      </c>
      <c r="I33" s="15">
        <f t="shared" si="1"/>
        <v>0</v>
      </c>
    </row>
    <row r="34" spans="1:9" x14ac:dyDescent="0.3">
      <c r="A34" s="1">
        <f t="shared" si="2"/>
        <v>31</v>
      </c>
      <c r="B34" s="1">
        <v>25011001036</v>
      </c>
      <c r="C34" s="1" t="s">
        <v>33</v>
      </c>
      <c r="D34" s="1"/>
      <c r="E34" s="1"/>
      <c r="F34" s="1"/>
      <c r="G34" s="1"/>
      <c r="H34" s="15">
        <f t="shared" si="3"/>
        <v>0</v>
      </c>
      <c r="I34" s="15">
        <f t="shared" si="1"/>
        <v>0</v>
      </c>
    </row>
    <row r="35" spans="1:9" x14ac:dyDescent="0.3">
      <c r="A35" s="1">
        <f t="shared" si="2"/>
        <v>32</v>
      </c>
      <c r="B35" s="1">
        <v>25011001037</v>
      </c>
      <c r="C35" s="1" t="s">
        <v>34</v>
      </c>
      <c r="D35" s="1"/>
      <c r="E35" s="1"/>
      <c r="F35" s="1"/>
      <c r="G35" s="1"/>
      <c r="H35" s="15">
        <f t="shared" si="3"/>
        <v>0</v>
      </c>
      <c r="I35" s="15">
        <f t="shared" si="1"/>
        <v>0</v>
      </c>
    </row>
    <row r="36" spans="1:9" x14ac:dyDescent="0.3">
      <c r="A36" s="11">
        <f t="shared" si="2"/>
        <v>33</v>
      </c>
      <c r="B36" s="11">
        <v>25011001038</v>
      </c>
      <c r="C36" s="1" t="s">
        <v>35</v>
      </c>
      <c r="D36" s="1"/>
      <c r="E36" s="1"/>
      <c r="F36" s="1"/>
      <c r="G36" s="1"/>
      <c r="H36" s="15">
        <f t="shared" si="3"/>
        <v>0</v>
      </c>
      <c r="I36" s="15">
        <f t="shared" si="1"/>
        <v>0</v>
      </c>
    </row>
    <row r="37" spans="1:9" x14ac:dyDescent="0.3">
      <c r="A37" s="1">
        <f t="shared" si="2"/>
        <v>34</v>
      </c>
      <c r="B37" s="1">
        <v>25011001039</v>
      </c>
      <c r="C37" s="1" t="s">
        <v>36</v>
      </c>
      <c r="D37" s="1"/>
      <c r="E37" s="1"/>
      <c r="F37" s="1"/>
      <c r="G37" s="1"/>
      <c r="H37" s="15">
        <f t="shared" si="3"/>
        <v>0</v>
      </c>
      <c r="I37" s="15">
        <f t="shared" si="1"/>
        <v>0</v>
      </c>
    </row>
    <row r="38" spans="1:9" x14ac:dyDescent="0.3">
      <c r="A38" s="1">
        <f t="shared" si="2"/>
        <v>35</v>
      </c>
      <c r="B38" s="1">
        <v>25011001040</v>
      </c>
      <c r="C38" s="1" t="s">
        <v>37</v>
      </c>
      <c r="D38" s="1"/>
      <c r="E38" s="1"/>
      <c r="F38" s="1"/>
      <c r="G38" s="1"/>
      <c r="H38" s="15">
        <f t="shared" si="3"/>
        <v>0</v>
      </c>
      <c r="I38" s="15">
        <f t="shared" si="1"/>
        <v>0</v>
      </c>
    </row>
    <row r="39" spans="1:9" x14ac:dyDescent="0.3">
      <c r="A39" s="1">
        <f t="shared" si="2"/>
        <v>36</v>
      </c>
      <c r="B39" s="1">
        <v>24011001007</v>
      </c>
      <c r="C39" s="1" t="s">
        <v>50</v>
      </c>
      <c r="D39" s="1"/>
      <c r="E39" s="1"/>
      <c r="F39" s="1"/>
      <c r="G39" s="1"/>
      <c r="H39" s="15">
        <f t="shared" si="3"/>
        <v>0</v>
      </c>
      <c r="I39" s="15">
        <f t="shared" si="1"/>
        <v>0</v>
      </c>
    </row>
    <row r="40" spans="1:9" x14ac:dyDescent="0.3">
      <c r="A40" s="1">
        <f t="shared" si="2"/>
        <v>37</v>
      </c>
      <c r="B40" s="1">
        <v>24011001026</v>
      </c>
      <c r="C40" s="1" t="s">
        <v>38</v>
      </c>
      <c r="D40" s="1"/>
      <c r="E40" s="1"/>
      <c r="F40" s="1"/>
      <c r="G40" s="1"/>
      <c r="H40" s="15">
        <f t="shared" si="3"/>
        <v>0</v>
      </c>
      <c r="I40" s="15">
        <f t="shared" si="1"/>
        <v>0</v>
      </c>
    </row>
    <row r="41" spans="1:9" x14ac:dyDescent="0.3">
      <c r="A41" s="1">
        <f t="shared" si="2"/>
        <v>38</v>
      </c>
      <c r="B41" s="1">
        <v>24011001034</v>
      </c>
      <c r="C41" s="1" t="s">
        <v>39</v>
      </c>
      <c r="D41" s="1"/>
      <c r="E41" s="1"/>
      <c r="F41" s="1"/>
      <c r="G41" s="1"/>
      <c r="H41" s="15">
        <f t="shared" si="3"/>
        <v>0</v>
      </c>
      <c r="I41" s="15">
        <f t="shared" si="1"/>
        <v>0</v>
      </c>
    </row>
    <row r="42" spans="1:9" x14ac:dyDescent="0.3">
      <c r="A42" s="1">
        <f t="shared" si="2"/>
        <v>39</v>
      </c>
      <c r="B42" s="1">
        <v>23011001003</v>
      </c>
      <c r="C42" s="1" t="s">
        <v>40</v>
      </c>
      <c r="D42" s="1"/>
      <c r="E42" s="1"/>
      <c r="F42" s="1"/>
      <c r="G42" s="1"/>
      <c r="H42" s="15">
        <f t="shared" si="3"/>
        <v>0</v>
      </c>
      <c r="I42" s="15">
        <f t="shared" si="1"/>
        <v>0</v>
      </c>
    </row>
    <row r="43" spans="1:9" x14ac:dyDescent="0.3">
      <c r="A43" s="1">
        <f t="shared" si="2"/>
        <v>40</v>
      </c>
      <c r="B43" s="1">
        <v>23011001016</v>
      </c>
      <c r="C43" s="1" t="s">
        <v>41</v>
      </c>
      <c r="D43" s="1"/>
      <c r="E43" s="1"/>
      <c r="F43" s="1"/>
      <c r="G43" s="1"/>
      <c r="H43" s="15">
        <f t="shared" si="3"/>
        <v>0</v>
      </c>
      <c r="I43" s="15">
        <f t="shared" si="1"/>
        <v>0</v>
      </c>
    </row>
    <row r="44" spans="1:9" x14ac:dyDescent="0.3">
      <c r="A44" s="1">
        <f t="shared" si="2"/>
        <v>41</v>
      </c>
      <c r="B44" s="1">
        <v>23011001023</v>
      </c>
      <c r="C44" s="1" t="s">
        <v>42</v>
      </c>
      <c r="D44" s="1"/>
      <c r="E44" s="1"/>
      <c r="F44" s="1"/>
      <c r="G44" s="1"/>
      <c r="H44" s="15">
        <f t="shared" si="3"/>
        <v>0</v>
      </c>
      <c r="I44" s="15">
        <f t="shared" si="1"/>
        <v>0</v>
      </c>
    </row>
  </sheetData>
  <mergeCells count="2">
    <mergeCell ref="A1:B1"/>
    <mergeCell ref="H1:I2"/>
  </mergeCells>
  <pageMargins left="0.7" right="0.7" top="0.75" bottom="0.75" header="0.3" footer="0.3"/>
  <pageSetup orientation="portrait" r:id="rId1"/>
  <ignoredErrors>
    <ignoredError sqref="D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ESE 2-1 Attendance</vt:lpstr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2026-09-02T06:29:37Z</dcterms:modified>
</cp:coreProperties>
</file>