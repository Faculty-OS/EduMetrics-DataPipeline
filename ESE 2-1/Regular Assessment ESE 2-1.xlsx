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B1A9D168-6451-49E1-B5C0-3410C89BB7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Attendance'!$F$3:$Y$3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E5" i="1" l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H6" i="8" l="1"/>
  <c r="H8" i="8"/>
  <c r="H10" i="8"/>
  <c r="H12" i="8"/>
  <c r="H14" i="8"/>
  <c r="H16" i="8"/>
  <c r="H18" i="8"/>
  <c r="H20" i="8"/>
  <c r="H22" i="8"/>
  <c r="H24" i="8"/>
  <c r="H26" i="8"/>
  <c r="H28" i="8"/>
  <c r="H30" i="8"/>
  <c r="H32" i="8"/>
  <c r="H33" i="8"/>
  <c r="H34" i="8"/>
  <c r="H36" i="8"/>
  <c r="H37" i="8"/>
  <c r="H38" i="8"/>
  <c r="H40" i="8"/>
  <c r="H41" i="8"/>
  <c r="H42" i="8"/>
  <c r="H44" i="8"/>
  <c r="H4" i="8"/>
  <c r="G3" i="8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G43" i="8"/>
  <c r="H43" i="8" s="1"/>
  <c r="G44" i="8"/>
  <c r="G31" i="8"/>
  <c r="H31" i="8" s="1"/>
  <c r="G30" i="8"/>
  <c r="G29" i="8"/>
  <c r="H29" i="8" s="1"/>
  <c r="G28" i="8"/>
  <c r="G27" i="8"/>
  <c r="H27" i="8" s="1"/>
  <c r="G26" i="8"/>
  <c r="G25" i="8"/>
  <c r="H25" i="8" s="1"/>
  <c r="G24" i="8"/>
  <c r="G23" i="8"/>
  <c r="H23" i="8" s="1"/>
  <c r="G22" i="8"/>
  <c r="G21" i="8"/>
  <c r="H21" i="8" s="1"/>
  <c r="G20" i="8"/>
  <c r="G19" i="8"/>
  <c r="H19" i="8" s="1"/>
  <c r="G18" i="8"/>
  <c r="G17" i="8"/>
  <c r="H17" i="8" s="1"/>
  <c r="G16" i="8"/>
  <c r="G15" i="8"/>
  <c r="H15" i="8" s="1"/>
  <c r="G14" i="8"/>
  <c r="G13" i="8"/>
  <c r="H13" i="8" s="1"/>
  <c r="G12" i="8"/>
  <c r="G11" i="8"/>
  <c r="H11" i="8" s="1"/>
  <c r="G10" i="8"/>
  <c r="G9" i="8"/>
  <c r="H9" i="8" s="1"/>
  <c r="G8" i="8"/>
  <c r="G7" i="8"/>
  <c r="H7" i="8" s="1"/>
  <c r="G6" i="8"/>
  <c r="G5" i="8"/>
  <c r="H5" i="8" s="1"/>
  <c r="G4" i="8"/>
  <c r="A5" i="8"/>
  <c r="A6" i="8" s="1"/>
  <c r="D4" i="1"/>
  <c r="E4" i="1" s="1" a="1"/>
  <c r="E4" i="1" s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B2" i="8" l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<sst xmlns="http://schemas.openxmlformats.org/spreadsheetml/2006/main" count="399" uniqueCount="64">
  <si>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</si>
  <si>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</si>
  <si>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</si>
  <si>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</si>
  <si>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</si>
  <si>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</si>
  <si>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</si>
  <si>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</si>
  <si>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</si>
  <si>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</si>
  <si>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</si>
  <si>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</si>
  <si>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</si>
  <si>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</si>
  <si>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</si>
  <si>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</si>
  <si>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</si>
  <si>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</si>
  <si>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</si>
  <si>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</si>
  <si>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</si>
  <si>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</si>
  <si>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</si>
  <si>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</si>
  <si>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</si>
  <si>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</si>
  <si>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</si>
  <si>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</si>
  <si>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</si>
  <si>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</si>
  <si>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</si>
  <si>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</si>
  <si>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</si>
  <si>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</si>
  <si>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</si>
  <si>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</si>
  <si>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</si>
  <si>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</si>
  <si>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</si>
  <si>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</si>
  <si>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</si>
  <si>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</si>
  <si>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</si>
  <si>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</si>
  <si>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</si>
  <si>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</si>
  <si>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</si>
  <si>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</si>
  <si>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</si>
  <si>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</si>
  <si>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</si>
  <si>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</si>
  <si>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</si>
  <si>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</si>
  <si>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Total</t>
  </si>
  <si>
    <t>Knitting Action</t>
  </si>
  <si>
    <t>p</t>
  </si>
  <si>
    <t>Comments on 1st Assignemnt</t>
  </si>
  <si>
    <t>COPY</t>
  </si>
  <si>
    <t>Comments on 2nd Assignemnt</t>
  </si>
  <si>
    <t>Comments on 3rd Assignemnt</t>
  </si>
  <si>
    <t>Warp Knitting Lapping</t>
  </si>
  <si>
    <t>Held, Tuck Loop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</si>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</sst>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workbookViewId="0">
      <pane xSplit="5" ySplit="3" topLeftCell="K29" activePane="bottomRight" state="frozen"/>
      <selection pane="topRight" activeCell="E1" sqref="E1"/>
      <selection pane="bottomLeft" activeCell="A4" sqref="A4"/>
      <selection pane="bottomRight" activeCell="M34" sqref="M34"/>
    </sheetView>
  </sheetViews>
  <sheetFormatPr defaultRowHeight="19.2" x14ac:dyDescent="0.5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5" width="8.88671875" style="18"/>
    <col min="6" max="7" width="27.109375" style="2" bestFit="1" customWidth="1"/>
    <col min="8" max="9" width="34.88671875" style="2" bestFit="1" customWidth="1"/>
    <col min="10" max="10" width="30.77734375" style="2" customWidth="1"/>
    <col min="11" max="11" width="36.109375" style="2" bestFit="1" customWidth="1"/>
    <col min="12" max="12" width="31.33203125" style="2" bestFit="1" customWidth="1"/>
    <col min="13" max="25" width="30.77734375" style="2" customWidth="1"/>
    <col min="26" max="16384" width="8.88671875" style="2"/>
  </cols>
  <sheetData>
    <row r="1" spans="1:25" x14ac:dyDescent="0.3">
      <c r="A1" s="19" t="s">
        <v>45</v>
      </c>
      <c r="B1" s="19"/>
      <c r="C1" s="4" t="s">
        <v>43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x14ac:dyDescent="0.3">
      <c r="A2" s="4" t="s">
        <v>44</v>
      </c>
      <c r="B2" s="4">
        <f>COUNT(A4:A44)</f>
        <v>41</v>
      </c>
      <c r="C2" s="4" t="s">
        <v>49</v>
      </c>
      <c r="D2" s="4"/>
      <c r="E2" s="4"/>
      <c r="F2" s="6">
        <v>1</v>
      </c>
      <c r="G2" s="6">
        <f>F2+1</f>
        <v>2</v>
      </c>
      <c r="H2" s="6">
        <f t="shared" ref="H2:Y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>Q2+1</f>
        <v>13</v>
      </c>
      <c r="S2" s="6">
        <f t="shared" si="0"/>
        <v>14</v>
      </c>
      <c r="T2" s="6">
        <f t="shared" si="0"/>
        <v>15</v>
      </c>
      <c r="U2" s="6">
        <f t="shared" si="0"/>
        <v>16</v>
      </c>
      <c r="V2" s="6">
        <f t="shared" si="0"/>
        <v>17</v>
      </c>
      <c r="W2" s="6">
        <f>V2+1</f>
        <v>18</v>
      </c>
      <c r="X2" s="6">
        <f t="shared" si="0"/>
        <v>19</v>
      </c>
      <c r="Y2" s="6">
        <f t="shared" si="0"/>
        <v>20</v>
      </c>
    </row>
    <row r="3" spans="1:25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3" t="s">
        <v>63</v>
      </c>
      <c r="F3" s="9">
        <v>46257</v>
      </c>
      <c r="G3" s="9">
        <v>46264</v>
      </c>
      <c r="H3" s="9">
        <v>46267</v>
      </c>
      <c r="I3" s="9">
        <v>46274</v>
      </c>
      <c r="J3" s="9">
        <v>46278</v>
      </c>
      <c r="K3" s="9">
        <v>46281</v>
      </c>
      <c r="L3" s="9">
        <v>46285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 x14ac:dyDescent="0.3">
      <c r="A4" s="1">
        <v>1</v>
      </c>
      <c r="B4" s="1">
        <v>25011001001</v>
      </c>
      <c r="C4" s="1" t="s">
        <v>3</v>
      </c>
      <c r="D4" s="8">
        <f t="shared" ref="D4:D44" si="1">COUNTIF(F4:Y4,"P")/(COUNTIF(F4:Y4,"P")+COUNTIF(F4:Y4,"A"))</f>
        <v>0.8571428571428571</v>
      </c>
      <c r="E4" s="1" cm="1">
        <f t="array" ref="E4">_xlfn.IFS(D4&gt;=90%,7.5,D4&gt;=80%,6,D4&gt;=70%,4.5,D4&gt;=60%,3,D4&lt;60%,0)</f>
        <v>6</v>
      </c>
      <c r="F4" s="7" t="s">
        <v>46</v>
      </c>
      <c r="G4" s="1" t="s">
        <v>47</v>
      </c>
      <c r="H4" s="1" t="s">
        <v>47</v>
      </c>
      <c r="I4" s="1" t="s">
        <v>47</v>
      </c>
      <c r="J4" s="1" t="s">
        <v>47</v>
      </c>
      <c r="K4" s="1" t="s">
        <v>47</v>
      </c>
      <c r="L4" s="1" t="s">
        <v>47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1">
        <f>A4+1</f>
        <v>2</v>
      </c>
      <c r="B5" s="11">
        <v>25011001003</v>
      </c>
      <c r="C5" s="1" t="s">
        <v>4</v>
      </c>
      <c r="D5" s="8">
        <f t="shared" si="1"/>
        <v>0.8571428571428571</v>
      </c>
      <c r="E5" s="1" cm="1">
        <f t="array" ref="E5">_xlfn.IFS(D5&gt;=90%,7.5,D5&gt;=80%,6,D5&gt;=70%,4.5,D5&gt;=60%,3,D5&lt;60%,0)</f>
        <v>6</v>
      </c>
      <c r="F5" s="1" t="s">
        <v>47</v>
      </c>
      <c r="G5" s="1" t="s">
        <v>47</v>
      </c>
      <c r="H5" s="1" t="s">
        <v>47</v>
      </c>
      <c r="I5" s="7" t="s">
        <v>46</v>
      </c>
      <c r="J5" s="1" t="s">
        <v>47</v>
      </c>
      <c r="K5" s="1" t="s">
        <v>47</v>
      </c>
      <c r="L5" s="1" t="s">
        <v>47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0.7142857142857143</v>
      </c>
      <c r="E6" s="1" cm="1">
        <f t="array" ref="E6">_xlfn.IFS(D6&gt;=90%,7.5,D6&gt;=80%,6,D6&gt;=70%,4.5,D6&gt;=60%,3,D6&lt;60%,0)</f>
        <v>4.5</v>
      </c>
      <c r="F6" s="1" t="s">
        <v>47</v>
      </c>
      <c r="G6" s="1" t="s">
        <v>47</v>
      </c>
      <c r="H6" s="7" t="s">
        <v>46</v>
      </c>
      <c r="I6" s="1" t="s">
        <v>47</v>
      </c>
      <c r="J6" s="1" t="s">
        <v>47</v>
      </c>
      <c r="K6" s="7" t="s">
        <v>46</v>
      </c>
      <c r="L6" s="1" t="s">
        <v>47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cm="1">
        <f t="array" ref="E7">_xlfn.IFS(D7&gt;=90%,7.5,D7&gt;=80%,6,D7&gt;=70%,4.5,D7&gt;=60%,3,D7&lt;60%,0)</f>
        <v>7.5</v>
      </c>
      <c r="F7" s="1" t="s">
        <v>47</v>
      </c>
      <c r="G7" s="1" t="s">
        <v>47</v>
      </c>
      <c r="H7" s="1" t="s">
        <v>47</v>
      </c>
      <c r="I7" s="1" t="s">
        <v>47</v>
      </c>
      <c r="J7" s="1" t="s">
        <v>47</v>
      </c>
      <c r="K7" s="1" t="s">
        <v>47</v>
      </c>
      <c r="L7" s="1" t="s">
        <v>47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cm="1">
        <f t="array" ref="E8">_xlfn.IFS(D8&gt;=90%,7.5,D8&gt;=80%,6,D8&gt;=70%,4.5,D8&gt;=60%,3,D8&lt;60%,0)</f>
        <v>7.5</v>
      </c>
      <c r="F8" s="1" t="s">
        <v>47</v>
      </c>
      <c r="G8" s="1" t="s">
        <v>47</v>
      </c>
      <c r="H8" s="1" t="s">
        <v>47</v>
      </c>
      <c r="I8" s="1" t="s">
        <v>47</v>
      </c>
      <c r="J8" s="1" t="s">
        <v>47</v>
      </c>
      <c r="K8" s="1" t="s">
        <v>47</v>
      </c>
      <c r="L8" s="1" t="s">
        <v>47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0.7142857142857143</v>
      </c>
      <c r="E9" s="1" cm="1">
        <f t="array" ref="E9">_xlfn.IFS(D9&gt;=90%,7.5,D9&gt;=80%,6,D9&gt;=70%,4.5,D9&gt;=60%,3,D9&lt;60%,0)</f>
        <v>4.5</v>
      </c>
      <c r="F9" s="1" t="s">
        <v>47</v>
      </c>
      <c r="G9" s="1" t="s">
        <v>47</v>
      </c>
      <c r="H9" s="7" t="s">
        <v>46</v>
      </c>
      <c r="I9" s="1" t="s">
        <v>47</v>
      </c>
      <c r="J9" s="7" t="s">
        <v>46</v>
      </c>
      <c r="K9" s="1" t="s">
        <v>47</v>
      </c>
      <c r="L9" s="1" t="s">
        <v>47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0.7142857142857143</v>
      </c>
      <c r="E10" s="1" cm="1">
        <f t="array" ref="E10">_xlfn.IFS(D10&gt;=90%,7.5,D10&gt;=80%,6,D10&gt;=70%,4.5,D10&gt;=60%,3,D10&lt;60%,0)</f>
        <v>4.5</v>
      </c>
      <c r="F10" s="1" t="s">
        <v>47</v>
      </c>
      <c r="G10" s="1" t="s">
        <v>47</v>
      </c>
      <c r="H10" s="7" t="s">
        <v>46</v>
      </c>
      <c r="I10" s="1" t="s">
        <v>47</v>
      </c>
      <c r="J10" s="7" t="s">
        <v>46</v>
      </c>
      <c r="K10" s="1" t="s">
        <v>47</v>
      </c>
      <c r="L10" s="1" t="s">
        <v>47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47</v>
      </c>
      <c r="G11" s="1" t="s">
        <v>47</v>
      </c>
      <c r="H11" s="1" t="s">
        <v>47</v>
      </c>
      <c r="I11" s="1" t="s">
        <v>47</v>
      </c>
      <c r="J11" s="1" t="s">
        <v>47</v>
      </c>
      <c r="K11" s="1" t="s">
        <v>47</v>
      </c>
      <c r="L11" s="1" t="s">
        <v>47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6">
        <f t="shared" si="2"/>
        <v>9</v>
      </c>
      <c r="B12" s="1">
        <v>25011001011</v>
      </c>
      <c r="C12" s="1" t="s">
        <v>11</v>
      </c>
      <c r="D12" s="8">
        <f t="shared" si="1"/>
        <v>0.7142857142857143</v>
      </c>
      <c r="E12" s="1" cm="1">
        <f t="array" ref="E12">_xlfn.IFS(D12&gt;=90%,7.5,D12&gt;=80%,6,D12&gt;=70%,4.5,D12&gt;=60%,3,D12&lt;60%,0)</f>
        <v>4.5</v>
      </c>
      <c r="F12" s="7" t="s">
        <v>46</v>
      </c>
      <c r="G12" s="7" t="s">
        <v>46</v>
      </c>
      <c r="H12" s="1" t="s">
        <v>47</v>
      </c>
      <c r="I12" s="1" t="s">
        <v>47</v>
      </c>
      <c r="J12" s="1" t="s">
        <v>47</v>
      </c>
      <c r="K12" s="1" t="s">
        <v>47</v>
      </c>
      <c r="L12" s="1" t="s">
        <v>47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47</v>
      </c>
      <c r="G13" s="1" t="s">
        <v>47</v>
      </c>
      <c r="H13" s="1" t="s">
        <v>47</v>
      </c>
      <c r="I13" s="1" t="s">
        <v>47</v>
      </c>
      <c r="J13" s="1" t="s">
        <v>47</v>
      </c>
      <c r="K13" s="1" t="s">
        <v>47</v>
      </c>
      <c r="L13" s="1" t="s">
        <v>47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0.5714285714285714</v>
      </c>
      <c r="E14" s="1" cm="1">
        <f t="array" ref="E14">_xlfn.IFS(D14&gt;=90%,7.5,D14&gt;=80%,6,D14&gt;=70%,4.5,D14&gt;=60%,3,D14&lt;60%,0)</f>
        <v>0</v>
      </c>
      <c r="F14" s="7" t="s">
        <v>46</v>
      </c>
      <c r="G14" s="1" t="s">
        <v>47</v>
      </c>
      <c r="H14" s="1" t="s">
        <v>47</v>
      </c>
      <c r="I14" s="1" t="s">
        <v>47</v>
      </c>
      <c r="J14" s="7" t="s">
        <v>46</v>
      </c>
      <c r="K14" s="7" t="s">
        <v>46</v>
      </c>
      <c r="L14" s="1" t="s">
        <v>47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47</v>
      </c>
      <c r="G15" s="1" t="s">
        <v>47</v>
      </c>
      <c r="H15" s="1" t="s">
        <v>47</v>
      </c>
      <c r="I15" s="1" t="s">
        <v>47</v>
      </c>
      <c r="J15" s="1" t="s">
        <v>47</v>
      </c>
      <c r="K15" s="1" t="s">
        <v>47</v>
      </c>
      <c r="L15" s="1" t="s">
        <v>47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47</v>
      </c>
      <c r="G16" s="1" t="s">
        <v>47</v>
      </c>
      <c r="H16" s="1" t="s">
        <v>47</v>
      </c>
      <c r="I16" s="1" t="s">
        <v>47</v>
      </c>
      <c r="J16" s="1" t="s">
        <v>47</v>
      </c>
      <c r="K16" s="1" t="s">
        <v>47</v>
      </c>
      <c r="L16" s="1" t="s">
        <v>47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0.42857142857142855</v>
      </c>
      <c r="E17" s="1" cm="1">
        <f t="array" ref="E17">_xlfn.IFS(D17&gt;=90%,7.5,D17&gt;=80%,6,D17&gt;=70%,4.5,D17&gt;=60%,3,D17&lt;60%,0)</f>
        <v>0</v>
      </c>
      <c r="F17" s="1" t="s">
        <v>47</v>
      </c>
      <c r="G17" s="7" t="s">
        <v>46</v>
      </c>
      <c r="H17" s="7" t="s">
        <v>46</v>
      </c>
      <c r="I17" s="1" t="s">
        <v>47</v>
      </c>
      <c r="J17" s="1" t="s">
        <v>47</v>
      </c>
      <c r="K17" s="7" t="s">
        <v>46</v>
      </c>
      <c r="L17" s="7" t="s">
        <v>46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cm="1">
        <f t="array" ref="E18">_xlfn.IFS(D18&gt;=90%,7.5,D18&gt;=80%,6,D18&gt;=70%,4.5,D18&gt;=60%,3,D18&lt;60%,0)</f>
        <v>7.5</v>
      </c>
      <c r="F18" s="1" t="s">
        <v>47</v>
      </c>
      <c r="G18" s="1" t="s">
        <v>47</v>
      </c>
      <c r="H18" s="1" t="s">
        <v>56</v>
      </c>
      <c r="I18" s="1" t="s">
        <v>47</v>
      </c>
      <c r="J18" s="1" t="s">
        <v>47</v>
      </c>
      <c r="K18" s="1" t="s">
        <v>47</v>
      </c>
      <c r="L18" s="1" t="s">
        <v>47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0.7142857142857143</v>
      </c>
      <c r="E19" s="1" cm="1">
        <f t="array" ref="E19">_xlfn.IFS(D19&gt;=90%,7.5,D19&gt;=80%,6,D19&gt;=70%,4.5,D19&gt;=60%,3,D19&lt;60%,0)</f>
        <v>4.5</v>
      </c>
      <c r="F19" s="1" t="s">
        <v>47</v>
      </c>
      <c r="G19" s="1" t="s">
        <v>47</v>
      </c>
      <c r="H19" s="7" t="s">
        <v>46</v>
      </c>
      <c r="I19" s="1" t="s">
        <v>47</v>
      </c>
      <c r="J19" s="7" t="s">
        <v>46</v>
      </c>
      <c r="K19" s="1" t="s">
        <v>47</v>
      </c>
      <c r="L19" s="1" t="s">
        <v>47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0.8571428571428571</v>
      </c>
      <c r="E20" s="1" cm="1">
        <f t="array" ref="E20">_xlfn.IFS(D20&gt;=90%,7.5,D20&gt;=80%,6,D20&gt;=70%,4.5,D20&gt;=60%,3,D20&lt;60%,0)</f>
        <v>6</v>
      </c>
      <c r="F20" s="1" t="s">
        <v>47</v>
      </c>
      <c r="G20" s="1" t="s">
        <v>47</v>
      </c>
      <c r="H20" s="1" t="s">
        <v>56</v>
      </c>
      <c r="I20" s="1" t="s">
        <v>47</v>
      </c>
      <c r="J20" s="1" t="s">
        <v>47</v>
      </c>
      <c r="K20" s="1" t="s">
        <v>47</v>
      </c>
      <c r="L20" s="7" t="s">
        <v>46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47</v>
      </c>
      <c r="G21" s="1" t="s">
        <v>47</v>
      </c>
      <c r="H21" s="1" t="s">
        <v>56</v>
      </c>
      <c r="I21" s="1" t="s">
        <v>47</v>
      </c>
      <c r="J21" s="1" t="s">
        <v>47</v>
      </c>
      <c r="K21" s="1" t="s">
        <v>47</v>
      </c>
      <c r="L21" s="1" t="s">
        <v>47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47</v>
      </c>
      <c r="G22" s="1" t="s">
        <v>47</v>
      </c>
      <c r="H22" s="1" t="s">
        <v>56</v>
      </c>
      <c r="I22" s="1" t="s">
        <v>47</v>
      </c>
      <c r="J22" s="1" t="s">
        <v>47</v>
      </c>
      <c r="K22" s="1" t="s">
        <v>47</v>
      </c>
      <c r="L22" s="1" t="s">
        <v>47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0.8571428571428571</v>
      </c>
      <c r="E23" s="1" cm="1">
        <f t="array" ref="E23">_xlfn.IFS(D23&gt;=90%,7.5,D23&gt;=80%,6,D23&gt;=70%,4.5,D23&gt;=60%,3,D23&lt;60%,0)</f>
        <v>6</v>
      </c>
      <c r="F23" s="1" t="s">
        <v>47</v>
      </c>
      <c r="G23" s="7" t="s">
        <v>46</v>
      </c>
      <c r="H23" s="1" t="s">
        <v>56</v>
      </c>
      <c r="I23" s="1" t="s">
        <v>47</v>
      </c>
      <c r="J23" s="1" t="s">
        <v>47</v>
      </c>
      <c r="K23" s="1" t="s">
        <v>47</v>
      </c>
      <c r="L23" s="1" t="s">
        <v>47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0.7142857142857143</v>
      </c>
      <c r="E24" s="1" cm="1">
        <f t="array" ref="E24">_xlfn.IFS(D24&gt;=90%,7.5,D24&gt;=80%,6,D24&gt;=70%,4.5,D24&gt;=60%,3,D24&lt;60%,0)</f>
        <v>4.5</v>
      </c>
      <c r="F24" s="1" t="s">
        <v>47</v>
      </c>
      <c r="G24" s="7" t="s">
        <v>46</v>
      </c>
      <c r="H24" s="1" t="s">
        <v>56</v>
      </c>
      <c r="I24" s="1" t="s">
        <v>47</v>
      </c>
      <c r="J24" s="1" t="s">
        <v>47</v>
      </c>
      <c r="K24" s="7" t="s">
        <v>46</v>
      </c>
      <c r="L24" s="1" t="s">
        <v>47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0.8571428571428571</v>
      </c>
      <c r="E25" s="1" cm="1">
        <f t="array" ref="E25">_xlfn.IFS(D25&gt;=90%,7.5,D25&gt;=80%,6,D25&gt;=70%,4.5,D25&gt;=60%,3,D25&lt;60%,0)</f>
        <v>6</v>
      </c>
      <c r="F25" s="7" t="s">
        <v>46</v>
      </c>
      <c r="G25" s="1" t="s">
        <v>47</v>
      </c>
      <c r="H25" s="1" t="s">
        <v>56</v>
      </c>
      <c r="I25" s="1" t="s">
        <v>47</v>
      </c>
      <c r="J25" s="1" t="s">
        <v>47</v>
      </c>
      <c r="K25" s="1" t="s">
        <v>47</v>
      </c>
      <c r="L25" s="1" t="s">
        <v>47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0.8571428571428571</v>
      </c>
      <c r="E26" s="1" cm="1">
        <f t="array" ref="E26">_xlfn.IFS(D26&gt;=90%,7.5,D26&gt;=80%,6,D26&gt;=70%,4.5,D26&gt;=60%,3,D26&lt;60%,0)</f>
        <v>6</v>
      </c>
      <c r="F26" s="1" t="s">
        <v>47</v>
      </c>
      <c r="G26" s="1" t="s">
        <v>47</v>
      </c>
      <c r="H26" s="1" t="s">
        <v>56</v>
      </c>
      <c r="I26" s="1" t="s">
        <v>47</v>
      </c>
      <c r="J26" s="1" t="s">
        <v>47</v>
      </c>
      <c r="K26" s="1" t="s">
        <v>47</v>
      </c>
      <c r="L26" s="7" t="s">
        <v>46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cm="1">
        <f t="array" ref="E27">_xlfn.IFS(D27&gt;=90%,7.5,D27&gt;=80%,6,D27&gt;=70%,4.5,D27&gt;=60%,3,D27&lt;60%,0)</f>
        <v>7.5</v>
      </c>
      <c r="F27" s="1" t="s">
        <v>47</v>
      </c>
      <c r="G27" s="1" t="s">
        <v>47</v>
      </c>
      <c r="H27" s="1" t="s">
        <v>56</v>
      </c>
      <c r="I27" s="1" t="s">
        <v>47</v>
      </c>
      <c r="J27" s="1" t="s">
        <v>47</v>
      </c>
      <c r="K27" s="1" t="s">
        <v>47</v>
      </c>
      <c r="L27" s="1" t="s">
        <v>47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0.7142857142857143</v>
      </c>
      <c r="E28" s="1" cm="1">
        <f t="array" ref="E28">_xlfn.IFS(D28&gt;=90%,7.5,D28&gt;=80%,6,D28&gt;=70%,4.5,D28&gt;=60%,3,D28&lt;60%,0)</f>
        <v>4.5</v>
      </c>
      <c r="F28" s="1" t="s">
        <v>47</v>
      </c>
      <c r="G28" s="1" t="s">
        <v>47</v>
      </c>
      <c r="H28" s="1" t="s">
        <v>56</v>
      </c>
      <c r="I28" s="1" t="s">
        <v>47</v>
      </c>
      <c r="J28" s="1" t="s">
        <v>47</v>
      </c>
      <c r="K28" s="7" t="s">
        <v>46</v>
      </c>
      <c r="L28" s="7" t="s">
        <v>46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cm="1">
        <f t="array" ref="E29">_xlfn.IFS(D29&gt;=90%,7.5,D29&gt;=80%,6,D29&gt;=70%,4.5,D29&gt;=60%,3,D29&lt;60%,0)</f>
        <v>7.5</v>
      </c>
      <c r="F29" s="1" t="s">
        <v>47</v>
      </c>
      <c r="G29" s="1" t="s">
        <v>47</v>
      </c>
      <c r="H29" s="1" t="s">
        <v>56</v>
      </c>
      <c r="I29" s="1" t="s">
        <v>47</v>
      </c>
      <c r="J29" s="1" t="s">
        <v>47</v>
      </c>
      <c r="K29" s="1" t="s">
        <v>47</v>
      </c>
      <c r="L29" s="1" t="s">
        <v>47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cm="1">
        <f t="array" ref="E30">_xlfn.IFS(D30&gt;=90%,7.5,D30&gt;=80%,6,D30&gt;=70%,4.5,D30&gt;=60%,3,D30&lt;60%,0)</f>
        <v>7.5</v>
      </c>
      <c r="F30" s="1" t="s">
        <v>47</v>
      </c>
      <c r="G30" s="1" t="s">
        <v>47</v>
      </c>
      <c r="H30" s="1" t="s">
        <v>56</v>
      </c>
      <c r="I30" s="1" t="s">
        <v>47</v>
      </c>
      <c r="J30" s="1" t="s">
        <v>47</v>
      </c>
      <c r="K30" s="1" t="s">
        <v>47</v>
      </c>
      <c r="L30" s="1" t="s">
        <v>47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6">
        <f t="shared" si="2"/>
        <v>28</v>
      </c>
      <c r="B31" s="1">
        <v>25011001032</v>
      </c>
      <c r="C31" s="1" t="s">
        <v>30</v>
      </c>
      <c r="D31" s="8">
        <f t="shared" si="1"/>
        <v>0.5714285714285714</v>
      </c>
      <c r="E31" s="1" cm="1">
        <f t="array" ref="E31">_xlfn.IFS(D31&gt;=90%,7.5,D31&gt;=80%,6,D31&gt;=70%,4.5,D31&gt;=60%,3,D31&lt;60%,0)</f>
        <v>0</v>
      </c>
      <c r="F31" s="1" t="s">
        <v>47</v>
      </c>
      <c r="G31" s="7" t="s">
        <v>46</v>
      </c>
      <c r="H31" s="7" t="s">
        <v>46</v>
      </c>
      <c r="I31" s="1" t="s">
        <v>47</v>
      </c>
      <c r="J31" s="1" t="s">
        <v>47</v>
      </c>
      <c r="K31" s="7" t="s">
        <v>46</v>
      </c>
      <c r="L31" s="1" t="s">
        <v>47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0.5714285714285714</v>
      </c>
      <c r="E32" s="1" cm="1">
        <f t="array" ref="E32">_xlfn.IFS(D32&gt;=90%,7.5,D32&gt;=80%,6,D32&gt;=70%,4.5,D32&gt;=60%,3,D32&lt;60%,0)</f>
        <v>0</v>
      </c>
      <c r="F32" s="1" t="s">
        <v>47</v>
      </c>
      <c r="G32" s="1" t="s">
        <v>47</v>
      </c>
      <c r="H32" s="7" t="s">
        <v>46</v>
      </c>
      <c r="I32" s="1" t="s">
        <v>47</v>
      </c>
      <c r="J32" s="1" t="s">
        <v>47</v>
      </c>
      <c r="K32" s="7" t="s">
        <v>46</v>
      </c>
      <c r="L32" s="7" t="s">
        <v>46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47</v>
      </c>
      <c r="G33" s="1" t="s">
        <v>47</v>
      </c>
      <c r="H33" s="1" t="s">
        <v>47</v>
      </c>
      <c r="I33" s="1" t="s">
        <v>47</v>
      </c>
      <c r="J33" s="1" t="s">
        <v>47</v>
      </c>
      <c r="K33" s="1" t="s">
        <v>47</v>
      </c>
      <c r="L33" s="1" t="s">
        <v>47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47</v>
      </c>
      <c r="G34" s="1" t="s">
        <v>47</v>
      </c>
      <c r="H34" s="1" t="s">
        <v>47</v>
      </c>
      <c r="I34" s="1" t="s">
        <v>47</v>
      </c>
      <c r="J34" s="1" t="s">
        <v>47</v>
      </c>
      <c r="K34" s="1" t="s">
        <v>47</v>
      </c>
      <c r="L34" s="1" t="s">
        <v>47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0.7142857142857143</v>
      </c>
      <c r="E35" s="1" cm="1">
        <f t="array" ref="E35">_xlfn.IFS(D35&gt;=90%,7.5,D35&gt;=80%,6,D35&gt;=70%,4.5,D35&gt;=60%,3,D35&lt;60%,0)</f>
        <v>4.5</v>
      </c>
      <c r="F35" s="1" t="s">
        <v>47</v>
      </c>
      <c r="G35" s="7" t="s">
        <v>46</v>
      </c>
      <c r="H35" s="1" t="s">
        <v>47</v>
      </c>
      <c r="I35" s="1" t="s">
        <v>47</v>
      </c>
      <c r="J35" s="1" t="s">
        <v>47</v>
      </c>
      <c r="K35" s="7" t="s">
        <v>46</v>
      </c>
      <c r="L35" s="1" t="s"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0.8571428571428571</v>
      </c>
      <c r="E36" s="1" cm="1">
        <f t="array" ref="E36">_xlfn.IFS(D36&gt;=90%,7.5,D36&gt;=80%,6,D36&gt;=70%,4.5,D36&gt;=60%,3,D36&lt;60%,0)</f>
        <v>6</v>
      </c>
      <c r="F36" s="1" t="s">
        <v>47</v>
      </c>
      <c r="G36" s="1" t="s">
        <v>47</v>
      </c>
      <c r="H36" s="1" t="s">
        <v>47</v>
      </c>
      <c r="I36" s="1" t="s">
        <v>47</v>
      </c>
      <c r="J36" s="1" t="s">
        <v>47</v>
      </c>
      <c r="K36" s="7" t="s">
        <v>46</v>
      </c>
      <c r="L36" s="1" t="s">
        <v>47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47</v>
      </c>
      <c r="G37" s="1" t="s">
        <v>47</v>
      </c>
      <c r="H37" s="1" t="s">
        <v>47</v>
      </c>
      <c r="I37" s="1" t="s">
        <v>47</v>
      </c>
      <c r="J37" s="1" t="s">
        <v>47</v>
      </c>
      <c r="K37" s="1" t="s">
        <v>47</v>
      </c>
      <c r="L37" s="1" t="s">
        <v>47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0.7142857142857143</v>
      </c>
      <c r="E38" s="1" cm="1">
        <f t="array" ref="E38">_xlfn.IFS(D38&gt;=90%,7.5,D38&gt;=80%,6,D38&gt;=70%,4.5,D38&gt;=60%,3,D38&lt;60%,0)</f>
        <v>4.5</v>
      </c>
      <c r="F38" s="1" t="s">
        <v>47</v>
      </c>
      <c r="G38" s="1" t="s">
        <v>47</v>
      </c>
      <c r="H38" s="1" t="s">
        <v>47</v>
      </c>
      <c r="I38" s="1" t="s">
        <v>47</v>
      </c>
      <c r="J38" s="1" t="s">
        <v>47</v>
      </c>
      <c r="K38" s="7" t="s">
        <v>46</v>
      </c>
      <c r="L38" s="7" t="s">
        <v>46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0.2857142857142857</v>
      </c>
      <c r="E39" s="1" cm="1">
        <f t="array" ref="E39">_xlfn.IFS(D39&gt;=90%,7.5,D39&gt;=80%,6,D39&gt;=70%,4.5,D39&gt;=60%,3,D39&lt;60%,0)</f>
        <v>0</v>
      </c>
      <c r="F39" s="7" t="s">
        <v>46</v>
      </c>
      <c r="G39" s="1" t="s">
        <v>47</v>
      </c>
      <c r="H39" s="7" t="s">
        <v>46</v>
      </c>
      <c r="I39" s="7" t="s">
        <v>46</v>
      </c>
      <c r="J39" s="7" t="s">
        <v>46</v>
      </c>
      <c r="K39" s="1" t="s">
        <v>47</v>
      </c>
      <c r="L39" s="7" t="s">
        <v>46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0.5714285714285714</v>
      </c>
      <c r="E40" s="1" cm="1">
        <f t="array" ref="E40">_xlfn.IFS(D40&gt;=90%,7.5,D40&gt;=80%,6,D40&gt;=70%,4.5,D40&gt;=60%,3,D40&lt;60%,0)</f>
        <v>0</v>
      </c>
      <c r="F40" s="1" t="s">
        <v>47</v>
      </c>
      <c r="G40" s="7" t="s">
        <v>46</v>
      </c>
      <c r="H40" s="7" t="s">
        <v>46</v>
      </c>
      <c r="I40" s="1" t="s">
        <v>47</v>
      </c>
      <c r="J40" s="1" t="s">
        <v>47</v>
      </c>
      <c r="K40" s="1" t="s">
        <v>47</v>
      </c>
      <c r="L40" s="7" t="s">
        <v>46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0.14285714285714285</v>
      </c>
      <c r="E41" s="1" cm="1">
        <f t="array" ref="E41">_xlfn.IFS(D41&gt;=90%,7.5,D41&gt;=80%,6,D41&gt;=70%,4.5,D41&gt;=60%,3,D41&lt;60%,0)</f>
        <v>0</v>
      </c>
      <c r="F41" s="7" t="s">
        <v>46</v>
      </c>
      <c r="G41" s="1" t="s">
        <v>47</v>
      </c>
      <c r="H41" s="7" t="s">
        <v>46</v>
      </c>
      <c r="I41" s="7" t="s">
        <v>46</v>
      </c>
      <c r="J41" s="7" t="s">
        <v>46</v>
      </c>
      <c r="K41" s="7" t="s">
        <v>46</v>
      </c>
      <c r="L41" s="7" t="s">
        <v>46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0.2857142857142857</v>
      </c>
      <c r="E42" s="1" cm="1">
        <f t="array" ref="E42">_xlfn.IFS(D42&gt;=90%,7.5,D42&gt;=80%,6,D42&gt;=70%,4.5,D42&gt;=60%,3,D42&lt;60%,0)</f>
        <v>0</v>
      </c>
      <c r="F42" s="7" t="s">
        <v>46</v>
      </c>
      <c r="G42" s="7" t="s">
        <v>46</v>
      </c>
      <c r="H42" s="7" t="s">
        <v>46</v>
      </c>
      <c r="I42" s="1" t="s">
        <v>47</v>
      </c>
      <c r="J42" s="1" t="s">
        <v>47</v>
      </c>
      <c r="K42" s="7" t="s">
        <v>46</v>
      </c>
      <c r="L42" s="7" t="s">
        <v>46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0.42857142857142855</v>
      </c>
      <c r="E43" s="1" cm="1">
        <f t="array" ref="E43">_xlfn.IFS(D43&gt;=90%,7.5,D43&gt;=80%,6,D43&gt;=70%,4.5,D43&gt;=60%,3,D43&lt;60%,0)</f>
        <v>0</v>
      </c>
      <c r="F43" s="1" t="s">
        <v>47</v>
      </c>
      <c r="G43" s="1" t="s">
        <v>47</v>
      </c>
      <c r="H43" s="7" t="s">
        <v>46</v>
      </c>
      <c r="I43" s="1" t="s">
        <v>47</v>
      </c>
      <c r="J43" s="7" t="s">
        <v>46</v>
      </c>
      <c r="K43" s="7" t="s">
        <v>46</v>
      </c>
      <c r="L43" s="7" t="s">
        <v>46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0.7142857142857143</v>
      </c>
      <c r="E44" s="1" cm="1">
        <f t="array" ref="E44">_xlfn.IFS(D44&gt;=90%,7.5,D44&gt;=80%,6,D44&gt;=70%,4.5,D44&gt;=60%,3,D44&lt;60%,0)</f>
        <v>4.5</v>
      </c>
      <c r="F44" s="1" t="s">
        <v>47</v>
      </c>
      <c r="G44" s="1" t="s">
        <v>47</v>
      </c>
      <c r="H44" s="7" t="s">
        <v>46</v>
      </c>
      <c r="I44" s="1" t="s">
        <v>47</v>
      </c>
      <c r="J44" s="1" t="s">
        <v>47</v>
      </c>
      <c r="K44" s="1" t="s">
        <v>47</v>
      </c>
      <c r="L44" s="7" t="s">
        <v>46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</sheetData>
  <mergeCells count="1">
    <mergeCell ref="A1:B1"/>
  </mergeCells>
  <conditionalFormatting sqref="D4:D44">
    <cfRule type="cellIs" dxfId="7" priority="1" operator="lessThan">
      <formula>0.6</formula>
    </cfRule>
    <cfRule type="cellIs" dxfId="6" priority="2" operator="between">
      <formula>0.6</formula>
      <formula>0.79</formula>
    </cfRule>
    <cfRule type="cellIs" dxfId="5" priority="3" operator="greaterThan">
      <formula>0.79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4">
    <cfRule type="cellIs" dxfId="2" priority="6" operator="lessThan">
      <formula>3</formula>
    </cfRule>
    <cfRule type="cellIs" dxfId="1" priority="7" operator="between">
      <formula>2</formula>
      <formula>5.5</formula>
    </cfRule>
    <cfRule type="cellIs" dxfId="0" priority="8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K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H4" sqref="H4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25.5546875" style="2" bestFit="1" customWidth="1"/>
    <col min="7" max="7" width="8.6640625" style="2" customWidth="1"/>
    <col min="8" max="8" width="11" style="2" customWidth="1"/>
    <col min="9" max="11" width="27.77734375" style="2" customWidth="1"/>
    <col min="12" max="16384" width="8.88671875" style="2"/>
  </cols>
  <sheetData>
    <row r="1" spans="1:11" x14ac:dyDescent="0.3">
      <c r="A1" s="19" t="s">
        <v>45</v>
      </c>
      <c r="B1" s="19"/>
      <c r="C1" s="4" t="s">
        <v>43</v>
      </c>
      <c r="D1" s="12" t="s">
        <v>51</v>
      </c>
      <c r="E1" s="12" t="s">
        <v>52</v>
      </c>
      <c r="F1" s="12" t="s">
        <v>53</v>
      </c>
      <c r="G1" s="20" t="s">
        <v>54</v>
      </c>
      <c r="H1" s="20"/>
      <c r="I1" s="21" t="s">
        <v>57</v>
      </c>
      <c r="J1" s="21" t="s">
        <v>59</v>
      </c>
      <c r="K1" s="21" t="s">
        <v>60</v>
      </c>
    </row>
    <row r="2" spans="1:11" x14ac:dyDescent="0.3">
      <c r="A2" s="4" t="s">
        <v>44</v>
      </c>
      <c r="B2" s="4">
        <f>COUNT(A4:A44)</f>
        <v>41</v>
      </c>
      <c r="C2" s="4" t="s">
        <v>49</v>
      </c>
      <c r="D2" s="12" t="s">
        <v>55</v>
      </c>
      <c r="E2" s="12" t="s">
        <v>62</v>
      </c>
      <c r="F2" s="12" t="s">
        <v>61</v>
      </c>
      <c r="G2" s="20"/>
      <c r="H2" s="20"/>
      <c r="I2" s="21"/>
      <c r="J2" s="21"/>
      <c r="K2" s="21"/>
    </row>
    <row r="3" spans="1:11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5">
        <v>7.5</v>
      </c>
      <c r="G3" s="13">
        <f t="shared" ref="G3:G44" si="0">SUM(D3:F3)</f>
        <v>22.5</v>
      </c>
      <c r="H3" s="13">
        <v>7.5</v>
      </c>
      <c r="I3" s="21"/>
      <c r="J3" s="21"/>
      <c r="K3" s="21"/>
    </row>
    <row r="4" spans="1:11" x14ac:dyDescent="0.3">
      <c r="A4" s="1">
        <v>1</v>
      </c>
      <c r="B4" s="1">
        <v>25011001001</v>
      </c>
      <c r="C4" s="1" t="s">
        <v>3</v>
      </c>
      <c r="D4" s="14">
        <v>5</v>
      </c>
      <c r="E4" s="14"/>
      <c r="F4" s="14"/>
      <c r="G4" s="14">
        <f t="shared" si="0"/>
        <v>5</v>
      </c>
      <c r="H4" s="17">
        <f>G4/3</f>
        <v>1.6666666666666667</v>
      </c>
      <c r="I4" s="1"/>
      <c r="J4" s="1"/>
      <c r="K4" s="1"/>
    </row>
    <row r="5" spans="1:11" x14ac:dyDescent="0.3">
      <c r="A5" s="11">
        <f>A4+1</f>
        <v>2</v>
      </c>
      <c r="B5" s="11">
        <v>25011001003</v>
      </c>
      <c r="C5" s="1" t="s">
        <v>4</v>
      </c>
      <c r="D5" s="14">
        <v>7</v>
      </c>
      <c r="E5" s="14"/>
      <c r="F5" s="14"/>
      <c r="G5" s="14">
        <f t="shared" si="0"/>
        <v>7</v>
      </c>
      <c r="H5" s="17">
        <f t="shared" ref="H5:H44" si="1">G5/3</f>
        <v>2.3333333333333335</v>
      </c>
      <c r="I5" s="1"/>
      <c r="J5" s="1"/>
      <c r="K5" s="1"/>
    </row>
    <row r="6" spans="1:11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/>
      <c r="G6" s="14">
        <f t="shared" si="0"/>
        <v>6</v>
      </c>
      <c r="H6" s="17">
        <f t="shared" si="1"/>
        <v>2</v>
      </c>
      <c r="I6" s="1"/>
      <c r="J6" s="1"/>
      <c r="K6" s="1"/>
    </row>
    <row r="7" spans="1:11" x14ac:dyDescent="0.3">
      <c r="A7" s="1">
        <f t="shared" si="2"/>
        <v>4</v>
      </c>
      <c r="B7" s="1">
        <v>25011001005</v>
      </c>
      <c r="C7" s="1" t="s">
        <v>6</v>
      </c>
      <c r="D7" s="14">
        <v>3</v>
      </c>
      <c r="E7" s="14"/>
      <c r="F7" s="14"/>
      <c r="G7" s="14">
        <f t="shared" si="0"/>
        <v>3</v>
      </c>
      <c r="H7" s="17">
        <f t="shared" si="1"/>
        <v>1</v>
      </c>
      <c r="I7" s="1" t="s">
        <v>58</v>
      </c>
      <c r="J7" s="1"/>
      <c r="K7" s="1"/>
    </row>
    <row r="8" spans="1:11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/>
      <c r="G8" s="14">
        <f t="shared" si="0"/>
        <v>7</v>
      </c>
      <c r="H8" s="17">
        <f t="shared" si="1"/>
        <v>2.3333333333333335</v>
      </c>
      <c r="I8" s="1"/>
      <c r="J8" s="1"/>
      <c r="K8" s="1"/>
    </row>
    <row r="9" spans="1:11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/>
      <c r="G9" s="14">
        <f t="shared" si="0"/>
        <v>7</v>
      </c>
      <c r="H9" s="17">
        <f t="shared" si="1"/>
        <v>2.3333333333333335</v>
      </c>
      <c r="I9" s="1"/>
      <c r="J9" s="1"/>
      <c r="K9" s="1"/>
    </row>
    <row r="10" spans="1:11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/>
      <c r="G10" s="14">
        <f t="shared" si="0"/>
        <v>6.5</v>
      </c>
      <c r="H10" s="17">
        <f t="shared" si="1"/>
        <v>2.1666666666666665</v>
      </c>
      <c r="I10" s="1"/>
      <c r="J10" s="1"/>
      <c r="K10" s="1"/>
    </row>
    <row r="11" spans="1:11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/>
      <c r="G11" s="14">
        <f t="shared" si="0"/>
        <v>7</v>
      </c>
      <c r="H11" s="17">
        <f t="shared" si="1"/>
        <v>2.3333333333333335</v>
      </c>
      <c r="I11" s="1"/>
      <c r="J11" s="1"/>
      <c r="K11" s="1"/>
    </row>
    <row r="12" spans="1:11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/>
      <c r="G12" s="14">
        <f t="shared" si="0"/>
        <v>6</v>
      </c>
      <c r="H12" s="17">
        <f t="shared" si="1"/>
        <v>2</v>
      </c>
      <c r="I12" s="1"/>
      <c r="J12" s="1"/>
      <c r="K12" s="1"/>
    </row>
    <row r="13" spans="1:11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/>
      <c r="G13" s="14">
        <f t="shared" si="0"/>
        <v>6.5</v>
      </c>
      <c r="H13" s="17">
        <f t="shared" si="1"/>
        <v>2.1666666666666665</v>
      </c>
      <c r="I13" s="1"/>
      <c r="J13" s="1"/>
      <c r="K13" s="1"/>
    </row>
    <row r="14" spans="1:11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/>
      <c r="G14" s="14">
        <f t="shared" si="0"/>
        <v>6.5</v>
      </c>
      <c r="H14" s="17">
        <f t="shared" si="1"/>
        <v>2.1666666666666665</v>
      </c>
      <c r="I14" s="1"/>
      <c r="J14" s="1"/>
      <c r="K14" s="1"/>
    </row>
    <row r="15" spans="1:11" x14ac:dyDescent="0.3">
      <c r="A15" s="1">
        <f t="shared" si="2"/>
        <v>12</v>
      </c>
      <c r="B15" s="1">
        <v>25011001016</v>
      </c>
      <c r="C15" s="1" t="s">
        <v>14</v>
      </c>
      <c r="D15" s="14">
        <v>3</v>
      </c>
      <c r="E15" s="14"/>
      <c r="F15" s="14"/>
      <c r="G15" s="14">
        <f t="shared" si="0"/>
        <v>3</v>
      </c>
      <c r="H15" s="17">
        <f t="shared" si="1"/>
        <v>1</v>
      </c>
      <c r="I15" s="1" t="s">
        <v>58</v>
      </c>
      <c r="J15" s="1"/>
      <c r="K15" s="1"/>
    </row>
    <row r="16" spans="1:11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/>
      <c r="G16" s="14">
        <f t="shared" si="0"/>
        <v>7</v>
      </c>
      <c r="H16" s="17">
        <f t="shared" si="1"/>
        <v>2.3333333333333335</v>
      </c>
      <c r="I16" s="1"/>
      <c r="J16" s="1"/>
      <c r="K16" s="1"/>
    </row>
    <row r="17" spans="1:11" x14ac:dyDescent="0.3">
      <c r="A17" s="1">
        <f t="shared" si="2"/>
        <v>14</v>
      </c>
      <c r="B17" s="1">
        <v>25011001018</v>
      </c>
      <c r="C17" s="1" t="s">
        <v>16</v>
      </c>
      <c r="D17" s="14">
        <v>5.5</v>
      </c>
      <c r="E17" s="14"/>
      <c r="F17" s="14"/>
      <c r="G17" s="14">
        <f t="shared" si="0"/>
        <v>5.5</v>
      </c>
      <c r="H17" s="17">
        <f t="shared" si="1"/>
        <v>1.8333333333333333</v>
      </c>
      <c r="I17" s="1"/>
      <c r="J17" s="1"/>
      <c r="K17" s="1"/>
    </row>
    <row r="18" spans="1:11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/>
      <c r="G18" s="14">
        <f t="shared" si="0"/>
        <v>5.5</v>
      </c>
      <c r="H18" s="17">
        <f t="shared" si="1"/>
        <v>1.8333333333333333</v>
      </c>
      <c r="I18" s="1"/>
      <c r="J18" s="1"/>
      <c r="K18" s="1"/>
    </row>
    <row r="19" spans="1:11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/>
      <c r="G19" s="14">
        <f t="shared" si="0"/>
        <v>6</v>
      </c>
      <c r="H19" s="17">
        <f t="shared" si="1"/>
        <v>2</v>
      </c>
      <c r="I19" s="1"/>
      <c r="J19" s="1"/>
      <c r="K19" s="1"/>
    </row>
    <row r="20" spans="1:11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/>
      <c r="G20" s="14">
        <f t="shared" si="0"/>
        <v>6</v>
      </c>
      <c r="H20" s="17">
        <f t="shared" si="1"/>
        <v>2</v>
      </c>
      <c r="I20" s="1"/>
      <c r="J20" s="1"/>
      <c r="K20" s="1"/>
    </row>
    <row r="21" spans="1:11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/>
      <c r="G21" s="14">
        <f t="shared" si="0"/>
        <v>6.5</v>
      </c>
      <c r="H21" s="17">
        <f t="shared" si="1"/>
        <v>2.1666666666666665</v>
      </c>
      <c r="I21" s="1"/>
      <c r="J21" s="1"/>
      <c r="K21" s="1"/>
    </row>
    <row r="22" spans="1:11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/>
      <c r="G22" s="14">
        <f t="shared" si="0"/>
        <v>6.5</v>
      </c>
      <c r="H22" s="17">
        <f t="shared" si="1"/>
        <v>2.1666666666666665</v>
      </c>
      <c r="I22" s="1"/>
      <c r="J22" s="1"/>
      <c r="K22" s="1"/>
    </row>
    <row r="23" spans="1:11" x14ac:dyDescent="0.3">
      <c r="A23" s="1">
        <f t="shared" si="2"/>
        <v>20</v>
      </c>
      <c r="B23" s="1">
        <v>25011001024</v>
      </c>
      <c r="C23" s="1" t="s">
        <v>22</v>
      </c>
      <c r="D23" s="14">
        <v>3</v>
      </c>
      <c r="E23" s="14"/>
      <c r="F23" s="14"/>
      <c r="G23" s="14">
        <f t="shared" si="0"/>
        <v>3</v>
      </c>
      <c r="H23" s="17">
        <f t="shared" si="1"/>
        <v>1</v>
      </c>
      <c r="I23" s="1" t="s">
        <v>58</v>
      </c>
      <c r="J23" s="1"/>
      <c r="K23" s="1"/>
    </row>
    <row r="24" spans="1:11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/>
      <c r="G24" s="14">
        <f t="shared" si="0"/>
        <v>7</v>
      </c>
      <c r="H24" s="17">
        <f t="shared" si="1"/>
        <v>2.3333333333333335</v>
      </c>
      <c r="I24" s="1"/>
      <c r="J24" s="1"/>
      <c r="K24" s="1"/>
    </row>
    <row r="25" spans="1:11" x14ac:dyDescent="0.3">
      <c r="A25" s="1">
        <f t="shared" si="2"/>
        <v>22</v>
      </c>
      <c r="B25" s="1">
        <v>25011001026</v>
      </c>
      <c r="C25" s="1" t="s">
        <v>24</v>
      </c>
      <c r="D25" s="14">
        <v>4</v>
      </c>
      <c r="E25" s="14"/>
      <c r="F25" s="14"/>
      <c r="G25" s="14">
        <f t="shared" si="0"/>
        <v>4</v>
      </c>
      <c r="H25" s="17">
        <f t="shared" si="1"/>
        <v>1.3333333333333333</v>
      </c>
      <c r="I25" s="1"/>
      <c r="J25" s="1"/>
      <c r="K25" s="1"/>
    </row>
    <row r="26" spans="1:11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/>
      <c r="G26" s="14">
        <f t="shared" si="0"/>
        <v>5.5</v>
      </c>
      <c r="H26" s="17">
        <f t="shared" si="1"/>
        <v>1.8333333333333333</v>
      </c>
      <c r="I26" s="1"/>
      <c r="J26" s="1"/>
      <c r="K26" s="1"/>
    </row>
    <row r="27" spans="1:11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/>
      <c r="G27" s="14">
        <f t="shared" si="0"/>
        <v>7</v>
      </c>
      <c r="H27" s="17">
        <f t="shared" si="1"/>
        <v>2.3333333333333335</v>
      </c>
      <c r="I27" s="1"/>
      <c r="J27" s="1"/>
      <c r="K27" s="1"/>
    </row>
    <row r="28" spans="1:11" x14ac:dyDescent="0.3">
      <c r="A28" s="1">
        <f t="shared" si="2"/>
        <v>25</v>
      </c>
      <c r="B28" s="1">
        <v>25011001029</v>
      </c>
      <c r="C28" s="1" t="s">
        <v>27</v>
      </c>
      <c r="D28" s="14">
        <v>4.5</v>
      </c>
      <c r="E28" s="14"/>
      <c r="F28" s="14"/>
      <c r="G28" s="14">
        <f t="shared" si="0"/>
        <v>4.5</v>
      </c>
      <c r="H28" s="17">
        <f t="shared" si="1"/>
        <v>1.5</v>
      </c>
      <c r="I28" s="1"/>
      <c r="J28" s="1"/>
      <c r="K28" s="1"/>
    </row>
    <row r="29" spans="1:11" x14ac:dyDescent="0.3">
      <c r="A29" s="1">
        <f t="shared" si="2"/>
        <v>26</v>
      </c>
      <c r="B29" s="1">
        <v>25011001030</v>
      </c>
      <c r="C29" s="1" t="s">
        <v>28</v>
      </c>
      <c r="D29" s="14">
        <v>6.5</v>
      </c>
      <c r="E29" s="14"/>
      <c r="F29" s="14"/>
      <c r="G29" s="14">
        <f t="shared" si="0"/>
        <v>6.5</v>
      </c>
      <c r="H29" s="17">
        <f t="shared" si="1"/>
        <v>2.1666666666666665</v>
      </c>
      <c r="I29" s="1"/>
      <c r="J29" s="1"/>
      <c r="K29" s="1"/>
    </row>
    <row r="30" spans="1:11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/>
      <c r="G30" s="14">
        <f t="shared" si="0"/>
        <v>6</v>
      </c>
      <c r="H30" s="17">
        <f t="shared" si="1"/>
        <v>2</v>
      </c>
      <c r="I30" s="1"/>
      <c r="J30" s="1"/>
      <c r="K30" s="1"/>
    </row>
    <row r="31" spans="1:11" x14ac:dyDescent="0.3">
      <c r="A31" s="1">
        <f t="shared" si="2"/>
        <v>28</v>
      </c>
      <c r="B31" s="1">
        <v>25011001032</v>
      </c>
      <c r="C31" s="1" t="s">
        <v>30</v>
      </c>
      <c r="D31" s="14">
        <v>3</v>
      </c>
      <c r="E31" s="14"/>
      <c r="F31" s="14"/>
      <c r="G31" s="14">
        <f t="shared" si="0"/>
        <v>3</v>
      </c>
      <c r="H31" s="17">
        <f t="shared" si="1"/>
        <v>1</v>
      </c>
      <c r="I31" s="1" t="s">
        <v>58</v>
      </c>
      <c r="J31" s="1"/>
      <c r="K31" s="1"/>
    </row>
    <row r="32" spans="1:11" x14ac:dyDescent="0.3">
      <c r="A32" s="1">
        <f t="shared" si="2"/>
        <v>29</v>
      </c>
      <c r="B32" s="1">
        <v>25011001033</v>
      </c>
      <c r="C32" s="1" t="s">
        <v>31</v>
      </c>
      <c r="D32" s="1">
        <v>4.5</v>
      </c>
      <c r="E32" s="1"/>
      <c r="F32" s="1"/>
      <c r="G32" s="14">
        <f t="shared" si="0"/>
        <v>4.5</v>
      </c>
      <c r="H32" s="17">
        <f t="shared" si="1"/>
        <v>1.5</v>
      </c>
      <c r="I32" s="1"/>
      <c r="J32" s="1"/>
      <c r="K32" s="1"/>
    </row>
    <row r="33" spans="1:11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"/>
      <c r="G33" s="14">
        <f t="shared" si="0"/>
        <v>6.5</v>
      </c>
      <c r="H33" s="17">
        <f t="shared" si="1"/>
        <v>2.1666666666666665</v>
      </c>
      <c r="I33" s="1"/>
      <c r="J33" s="1"/>
      <c r="K33" s="1"/>
    </row>
    <row r="34" spans="1:11" x14ac:dyDescent="0.3">
      <c r="A34" s="1">
        <f t="shared" si="2"/>
        <v>31</v>
      </c>
      <c r="B34" s="1">
        <v>25011001036</v>
      </c>
      <c r="C34" s="1" t="s">
        <v>33</v>
      </c>
      <c r="D34" s="1">
        <v>6</v>
      </c>
      <c r="E34" s="1"/>
      <c r="F34" s="1"/>
      <c r="G34" s="14">
        <f t="shared" si="0"/>
        <v>6</v>
      </c>
      <c r="H34" s="17">
        <f t="shared" si="1"/>
        <v>2</v>
      </c>
      <c r="I34" s="1"/>
      <c r="J34" s="1"/>
      <c r="K34" s="1"/>
    </row>
    <row r="35" spans="1:11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"/>
      <c r="G35" s="14">
        <f t="shared" si="0"/>
        <v>5</v>
      </c>
      <c r="H35" s="17">
        <f t="shared" si="1"/>
        <v>1.6666666666666667</v>
      </c>
      <c r="I35" s="1"/>
      <c r="J35" s="1"/>
      <c r="K35" s="1"/>
    </row>
    <row r="36" spans="1:11" x14ac:dyDescent="0.3">
      <c r="A36" s="11">
        <f t="shared" si="2"/>
        <v>33</v>
      </c>
      <c r="B36" s="11">
        <v>25011001038</v>
      </c>
      <c r="C36" s="1" t="s">
        <v>35</v>
      </c>
      <c r="D36" s="1">
        <v>6.5</v>
      </c>
      <c r="E36" s="1"/>
      <c r="F36" s="1"/>
      <c r="G36" s="14">
        <f t="shared" si="0"/>
        <v>6.5</v>
      </c>
      <c r="H36" s="17">
        <f t="shared" si="1"/>
        <v>2.1666666666666665</v>
      </c>
      <c r="I36" s="1"/>
      <c r="J36" s="1"/>
      <c r="K36" s="1"/>
    </row>
    <row r="37" spans="1:11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"/>
      <c r="G37" s="14">
        <f t="shared" si="0"/>
        <v>6.5</v>
      </c>
      <c r="H37" s="17">
        <f t="shared" si="1"/>
        <v>2.1666666666666665</v>
      </c>
      <c r="I37" s="1"/>
      <c r="J37" s="1"/>
      <c r="K37" s="1"/>
    </row>
    <row r="38" spans="1:11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"/>
      <c r="G38" s="14">
        <f t="shared" si="0"/>
        <v>6</v>
      </c>
      <c r="H38" s="17">
        <f t="shared" si="1"/>
        <v>2</v>
      </c>
      <c r="I38" s="1"/>
      <c r="J38" s="1"/>
      <c r="K38" s="1"/>
    </row>
    <row r="39" spans="1:11" x14ac:dyDescent="0.3">
      <c r="A39" s="1">
        <f t="shared" si="2"/>
        <v>36</v>
      </c>
      <c r="B39" s="1">
        <v>24011001007</v>
      </c>
      <c r="C39" s="1" t="s">
        <v>50</v>
      </c>
      <c r="D39" s="16"/>
      <c r="E39" s="1"/>
      <c r="F39" s="1"/>
      <c r="G39" s="14">
        <f t="shared" si="0"/>
        <v>0</v>
      </c>
      <c r="H39" s="17">
        <f t="shared" si="1"/>
        <v>0</v>
      </c>
      <c r="I39" s="1"/>
      <c r="J39" s="1"/>
      <c r="K39" s="1"/>
    </row>
    <row r="40" spans="1:11" x14ac:dyDescent="0.3">
      <c r="A40" s="1">
        <f t="shared" si="2"/>
        <v>37</v>
      </c>
      <c r="B40" s="1">
        <v>24011001026</v>
      </c>
      <c r="C40" s="1" t="s">
        <v>38</v>
      </c>
      <c r="D40" s="16"/>
      <c r="E40" s="1"/>
      <c r="F40" s="1"/>
      <c r="G40" s="14">
        <f t="shared" si="0"/>
        <v>0</v>
      </c>
      <c r="H40" s="17">
        <f t="shared" si="1"/>
        <v>0</v>
      </c>
      <c r="I40" s="1"/>
      <c r="J40" s="1"/>
      <c r="K40" s="1"/>
    </row>
    <row r="41" spans="1:11" x14ac:dyDescent="0.3">
      <c r="A41" s="1">
        <f t="shared" si="2"/>
        <v>38</v>
      </c>
      <c r="B41" s="1">
        <v>24011001034</v>
      </c>
      <c r="C41" s="1" t="s">
        <v>39</v>
      </c>
      <c r="D41" s="16"/>
      <c r="E41" s="1"/>
      <c r="F41" s="1"/>
      <c r="G41" s="14">
        <f t="shared" si="0"/>
        <v>0</v>
      </c>
      <c r="H41" s="17">
        <f t="shared" si="1"/>
        <v>0</v>
      </c>
      <c r="I41" s="1"/>
      <c r="J41" s="1"/>
      <c r="K41" s="1"/>
    </row>
    <row r="42" spans="1:11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"/>
      <c r="G42" s="14">
        <f t="shared" si="0"/>
        <v>5.5</v>
      </c>
      <c r="H42" s="17">
        <f t="shared" si="1"/>
        <v>1.8333333333333333</v>
      </c>
      <c r="I42" s="1"/>
      <c r="J42" s="1"/>
      <c r="K42" s="1"/>
    </row>
    <row r="43" spans="1:11" x14ac:dyDescent="0.3">
      <c r="A43" s="1">
        <f t="shared" si="2"/>
        <v>40</v>
      </c>
      <c r="B43" s="1">
        <v>23011001016</v>
      </c>
      <c r="C43" s="1" t="s">
        <v>41</v>
      </c>
      <c r="D43" s="16"/>
      <c r="E43" s="1"/>
      <c r="F43" s="1"/>
      <c r="G43" s="14">
        <f t="shared" si="0"/>
        <v>0</v>
      </c>
      <c r="H43" s="17">
        <f t="shared" si="1"/>
        <v>0</v>
      </c>
      <c r="I43" s="1"/>
      <c r="J43" s="1"/>
      <c r="K43" s="1"/>
    </row>
    <row r="44" spans="1:11" x14ac:dyDescent="0.3">
      <c r="A44" s="1">
        <f t="shared" si="2"/>
        <v>41</v>
      </c>
      <c r="B44" s="1">
        <v>23011001023</v>
      </c>
      <c r="C44" s="1" t="s">
        <v>42</v>
      </c>
      <c r="D44" s="16"/>
      <c r="E44" s="1"/>
      <c r="F44" s="1"/>
      <c r="G44" s="14">
        <f t="shared" si="0"/>
        <v>0</v>
      </c>
      <c r="H44" s="17">
        <f t="shared" si="1"/>
        <v>0</v>
      </c>
      <c r="I44" s="1"/>
      <c r="J44" s="1"/>
      <c r="K44" s="1"/>
    </row>
  </sheetData>
  <mergeCells count="5">
    <mergeCell ref="A1:B1"/>
    <mergeCell ref="G1:H2"/>
    <mergeCell ref="I1:I3"/>
    <mergeCell ref="J1:J3"/>
    <mergeCell ref="K1:K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2026-09-20T06:26:55Z</dcterms:modified>
</cp:coreProperties>
</file>