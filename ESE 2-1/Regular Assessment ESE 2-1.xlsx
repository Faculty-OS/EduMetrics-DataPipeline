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ESE 2-1\"/>
    </mc:Choice>
  </mc:AlternateContent>
  <xr:revisionPtr revIDLastSave="0" documentId="13_ncr:1_{1A0038EE-0202-4BCC-A341-EEE995DBCF8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SE 2-1 Attendance" sheetId="1" r:id="rId1"/>
    <sheet name="Assignment" sheetId="8" r:id="rId2"/>
    <sheet name="Class Test" sheetId="9" r:id="rId3"/>
    <sheet name="Eval." sheetId="10" r:id="rId4"/>
  </sheets>
  <definedNames>
    <definedName name="_xlnm._FilterDatabase" localSheetId="1" hidden="1">Assignment!$A$1:$I$44</definedName>
    <definedName name="_xlnm._FilterDatabase" localSheetId="2" hidden="1">'Class Test'!$A$1:$D$44</definedName>
    <definedName name="_xlnm._FilterDatabase" localSheetId="0" hidden="1">'ESE 2-1 Attendance'!$F$3:$T$3</definedName>
    <definedName name="_xlnm._FilterDatabase" localSheetId="3" hidden="1">Eval.!$A$3:$G$3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10" l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9" i="10"/>
  <c r="E30" i="10"/>
  <c r="E31" i="10"/>
  <c r="E32" i="10"/>
  <c r="E33" i="10"/>
  <c r="E34" i="10"/>
  <c r="E35" i="10"/>
  <c r="E36" i="10"/>
  <c r="E37" i="10"/>
  <c r="E38" i="10"/>
  <c r="E39" i="10"/>
  <c r="E41" i="10"/>
  <c r="E42" i="10"/>
  <c r="E4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" i="10"/>
  <c r="A5" i="10"/>
  <c r="A6" i="10" s="1"/>
  <c r="A5" i="9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7" i="10" l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B2" i="9"/>
  <c r="B2" i="10" l="1"/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E5" i="1" l="1" a="1"/>
  <c r="E5" i="1" s="1"/>
  <c r="D5" i="10" s="1"/>
  <c r="G5" i="10" s="1"/>
  <c r="E6" i="1" a="1"/>
  <c r="E6" i="1" s="1"/>
  <c r="D6" i="10" s="1"/>
  <c r="G6" i="10" s="1"/>
  <c r="E7" i="1" a="1"/>
  <c r="E7" i="1" s="1"/>
  <c r="D7" i="10" s="1"/>
  <c r="G7" i="10" s="1"/>
  <c r="E8" i="1" a="1"/>
  <c r="E8" i="1" s="1"/>
  <c r="D8" i="10" s="1"/>
  <c r="G8" i="10" s="1"/>
  <c r="E9" i="1" a="1"/>
  <c r="E9" i="1" s="1"/>
  <c r="D9" i="10" s="1"/>
  <c r="G9" i="10" s="1"/>
  <c r="E10" i="1" a="1"/>
  <c r="E10" i="1" s="1"/>
  <c r="D10" i="10" s="1"/>
  <c r="G10" i="10" s="1"/>
  <c r="E11" i="1" a="1"/>
  <c r="E11" i="1" s="1"/>
  <c r="D11" i="10" s="1"/>
  <c r="G11" i="10" s="1"/>
  <c r="E12" i="1" a="1"/>
  <c r="E12" i="1" s="1"/>
  <c r="D12" i="10" s="1"/>
  <c r="G12" i="10" s="1"/>
  <c r="E13" i="1" a="1"/>
  <c r="E13" i="1" s="1"/>
  <c r="D13" i="10" s="1"/>
  <c r="G13" i="10" s="1"/>
  <c r="E14" i="1" a="1"/>
  <c r="E14" i="1" s="1"/>
  <c r="D14" i="10" s="1"/>
  <c r="G14" i="10" s="1"/>
  <c r="E15" i="1" a="1"/>
  <c r="E15" i="1" s="1"/>
  <c r="D15" i="10" s="1"/>
  <c r="G15" i="10" s="1"/>
  <c r="E16" i="1" a="1"/>
  <c r="E16" i="1" s="1"/>
  <c r="D16" i="10" s="1"/>
  <c r="G16" i="10" s="1"/>
  <c r="E17" i="1" a="1"/>
  <c r="E17" i="1" s="1"/>
  <c r="D17" i="10" s="1"/>
  <c r="G17" i="10" s="1"/>
  <c r="E18" i="1" a="1"/>
  <c r="E18" i="1" s="1"/>
  <c r="D18" i="10" s="1"/>
  <c r="G18" i="10" s="1"/>
  <c r="E19" i="1" a="1"/>
  <c r="E19" i="1" s="1"/>
  <c r="D19" i="10" s="1"/>
  <c r="G19" i="10" s="1"/>
  <c r="E20" i="1" a="1"/>
  <c r="E20" i="1" s="1"/>
  <c r="D20" i="10" s="1"/>
  <c r="G20" i="10" s="1"/>
  <c r="E21" i="1" a="1"/>
  <c r="E21" i="1" s="1"/>
  <c r="D21" i="10" s="1"/>
  <c r="G21" i="10" s="1"/>
  <c r="E22" i="1" a="1"/>
  <c r="E22" i="1" s="1"/>
  <c r="D22" i="10" s="1"/>
  <c r="G22" i="10" s="1"/>
  <c r="E23" i="1" a="1"/>
  <c r="E23" i="1" s="1"/>
  <c r="D23" i="10" s="1"/>
  <c r="G23" i="10" s="1"/>
  <c r="E24" i="1" a="1"/>
  <c r="E24" i="1" s="1"/>
  <c r="D24" i="10" s="1"/>
  <c r="G24" i="10" s="1"/>
  <c r="E25" i="1" a="1"/>
  <c r="E25" i="1" s="1"/>
  <c r="D25" i="10" s="1"/>
  <c r="G25" i="10" s="1"/>
  <c r="E26" i="1" a="1"/>
  <c r="E26" i="1" s="1"/>
  <c r="D26" i="10" s="1"/>
  <c r="G26" i="10" s="1"/>
  <c r="E27" i="1" a="1"/>
  <c r="E27" i="1" s="1"/>
  <c r="D27" i="10" s="1"/>
  <c r="G27" i="10" s="1"/>
  <c r="E28" i="1" a="1"/>
  <c r="E28" i="1" s="1"/>
  <c r="D28" i="10" s="1"/>
  <c r="E29" i="1" a="1"/>
  <c r="E29" i="1" s="1"/>
  <c r="D29" i="10" s="1"/>
  <c r="G29" i="10" s="1"/>
  <c r="E30" i="1" a="1"/>
  <c r="E30" i="1" s="1"/>
  <c r="D30" i="10" s="1"/>
  <c r="G30" i="10" s="1"/>
  <c r="E31" i="1" a="1"/>
  <c r="E31" i="1" s="1"/>
  <c r="D31" i="10" s="1"/>
  <c r="G31" i="10" s="1"/>
  <c r="E32" i="1" a="1"/>
  <c r="E32" i="1" s="1"/>
  <c r="D32" i="10" s="1"/>
  <c r="G32" i="10" s="1"/>
  <c r="E33" i="1" a="1"/>
  <c r="E33" i="1" s="1"/>
  <c r="D33" i="10" s="1"/>
  <c r="G33" i="10" s="1"/>
  <c r="E34" i="1" a="1"/>
  <c r="E34" i="1" s="1"/>
  <c r="D34" i="10" s="1"/>
  <c r="G34" i="10" s="1"/>
  <c r="E35" i="1" a="1"/>
  <c r="E35" i="1" s="1"/>
  <c r="D35" i="10" s="1"/>
  <c r="G35" i="10" s="1"/>
  <c r="E36" i="1" a="1"/>
  <c r="E36" i="1" s="1"/>
  <c r="D36" i="10" s="1"/>
  <c r="G36" i="10" s="1"/>
  <c r="E37" i="1" a="1"/>
  <c r="E37" i="1" s="1"/>
  <c r="D37" i="10" s="1"/>
  <c r="G37" i="10" s="1"/>
  <c r="E38" i="1" a="1"/>
  <c r="E38" i="1" s="1"/>
  <c r="D38" i="10" s="1"/>
  <c r="G38" i="10" s="1"/>
  <c r="E39" i="1" a="1"/>
  <c r="E39" i="1" s="1"/>
  <c r="D39" i="10" s="1"/>
  <c r="G39" i="10" s="1"/>
  <c r="E40" i="1" a="1"/>
  <c r="E40" i="1" s="1"/>
  <c r="D40" i="10" s="1"/>
  <c r="E41" i="1" a="1"/>
  <c r="E41" i="1" s="1"/>
  <c r="D41" i="10" s="1"/>
  <c r="G41" i="10" s="1"/>
  <c r="E42" i="1" a="1"/>
  <c r="E42" i="1" s="1"/>
  <c r="D42" i="10" s="1"/>
  <c r="G42" i="10" s="1"/>
  <c r="E43" i="1" a="1"/>
  <c r="E43" i="1" s="1"/>
  <c r="D43" i="10" s="1"/>
  <c r="E44" i="1" a="1"/>
  <c r="E44" i="1" s="1"/>
  <c r="D44" i="10" s="1"/>
  <c r="G44" i="10" s="1"/>
  <c r="F3" i="8" l="1"/>
  <c r="F32" i="8"/>
  <c r="G32" i="8" s="1"/>
  <c r="F33" i="8"/>
  <c r="G33" i="8" s="1"/>
  <c r="F34" i="8"/>
  <c r="G34" i="8" s="1"/>
  <c r="F35" i="8"/>
  <c r="G35" i="8" s="1"/>
  <c r="F36" i="8"/>
  <c r="G36" i="8" s="1"/>
  <c r="F37" i="8"/>
  <c r="G37" i="8" s="1"/>
  <c r="F38" i="8"/>
  <c r="G38" i="8" s="1"/>
  <c r="F39" i="8"/>
  <c r="G39" i="8" s="1"/>
  <c r="F40" i="8"/>
  <c r="G40" i="8" s="1"/>
  <c r="E40" i="10" s="1"/>
  <c r="G40" i="10" s="1"/>
  <c r="F41" i="8"/>
  <c r="G41" i="8" s="1"/>
  <c r="F42" i="8"/>
  <c r="G42" i="8" s="1"/>
  <c r="F43" i="8"/>
  <c r="G43" i="8" s="1"/>
  <c r="E43" i="10" s="1"/>
  <c r="G43" i="10" s="1"/>
  <c r="F44" i="8"/>
  <c r="G44" i="8" s="1"/>
  <c r="F31" i="8"/>
  <c r="G31" i="8" s="1"/>
  <c r="F30" i="8"/>
  <c r="G30" i="8" s="1"/>
  <c r="F29" i="8"/>
  <c r="G29" i="8" s="1"/>
  <c r="F28" i="8"/>
  <c r="G28" i="8" s="1"/>
  <c r="E28" i="10" s="1"/>
  <c r="G28" i="10" s="1"/>
  <c r="F27" i="8"/>
  <c r="G27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E4" i="10" s="1"/>
  <c r="A5" i="8"/>
  <c r="A6" i="8" s="1"/>
  <c r="D4" i="1"/>
  <c r="E4" i="1" s="1" a="1"/>
  <c r="E4" i="1" s="1"/>
  <c r="D4" i="10" s="1"/>
  <c r="G4" i="10" l="1"/>
  <c r="A7" i="8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B2" i="8" l="1"/>
  <c r="G2" i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A5" i="1" l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<sst xmlns="http://schemas.openxmlformats.org/spreadsheetml/2006/main" count="591" uniqueCount="73">
  <si>
    <t>SL</t>
  </si>
  <si>
    <t>Students ID</t>
  </si>
  <si>
    <t>Students Name</t>
  </si>
  <si>
    <t>MD. MORSHEDUL ISLAM</t>
  </si>
  <si>
    <t>CHANDRAKANTA SUSHIL DIP</t>
  </si>
  <si>
    <t>MD. MAHFUZ UDDIN</t>
  </si>
  <si>
    <t>HASIB JAHAN SAIKAT</t>
  </si>
  <si>
    <t>OISHI RANI SARKER</t>
  </si>
  <si>
    <t>TONOY KANTI BASAK</t>
  </si>
  <si>
    <t>TAHSIN AZAD KOLI</t>
  </si>
  <si>
    <t>PROBIR CHAKROBORTY</t>
  </si>
  <si>
    <t>MD. KHALID HASAN RONY</t>
  </si>
  <si>
    <t>MASNUN ADIB</t>
  </si>
  <si>
    <t>MD. FARHAN NUR ISLAM QUADERY SHUPTHO</t>
  </si>
  <si>
    <t>MD. ASHIQUR RAHMAN</t>
  </si>
  <si>
    <t>MST. ISRAT JAHAN MUNNI</t>
  </si>
  <si>
    <t>MD. HASIBUL HAQUE</t>
  </si>
  <si>
    <t>PARTHA SARKAR</t>
  </si>
  <si>
    <t>PRATTOY CHOWDHURY</t>
  </si>
  <si>
    <t>ARNAB SAHA</t>
  </si>
  <si>
    <t>MD. SADMAN SAKIF</t>
  </si>
  <si>
    <t>LISA ROY TINA</t>
  </si>
  <si>
    <t>MD. SHABIRUJJAMAN DIGONTO</t>
  </si>
  <si>
    <t>FARIDUZZAMAN TALUKDER</t>
  </si>
  <si>
    <t>MD. RIAZUL ISLAM LIKHON</t>
  </si>
  <si>
    <t>MOZAHID HASAN MUKTO</t>
  </si>
  <si>
    <t>MST. JULEKHA KHATUN</t>
  </si>
  <si>
    <t>TIRTHA SUTRADHAR</t>
  </si>
  <si>
    <t>JANNATUL FERDUSE SWEETY</t>
  </si>
  <si>
    <t>MD. MASHRAFE JAMAN</t>
  </si>
  <si>
    <t>TAMIM BIN MOHSIN</t>
  </si>
  <si>
    <t>DEVDATTA DAS ADHIKARY</t>
  </si>
  <si>
    <t>SAMIRA AFROSE</t>
  </si>
  <si>
    <t>TASMIA NUDER</t>
  </si>
  <si>
    <t>SWAPNIL CHOWDHURY</t>
  </si>
  <si>
    <t>MD. SAKIBUL SAHON</t>
  </si>
  <si>
    <t>NAFIZA ANZUM AHONA</t>
  </si>
  <si>
    <t>ISHMAM TAHSIN ZIAN</t>
  </si>
  <si>
    <t>SHAIMA TASNEEM AUTHOYEE</t>
  </si>
  <si>
    <t>MD. LUKMAN HOSSAIN</t>
  </si>
  <si>
    <t>ABDULLAH AL LABIB</t>
  </si>
  <si>
    <t>RUFAIDA ANZUM</t>
  </si>
  <si>
    <t>MD. IMTISHAR SARKER SAMI</t>
  </si>
  <si>
    <t>BATCH 51</t>
  </si>
  <si>
    <t>NOS</t>
  </si>
  <si>
    <t>ESE 2-1</t>
  </si>
  <si>
    <t>A</t>
  </si>
  <si>
    <t>P</t>
  </si>
  <si>
    <t>Attendance%</t>
  </si>
  <si>
    <t>NOCLS</t>
  </si>
  <si>
    <t>FAHMID SAMI ARIN</t>
  </si>
  <si>
    <t>Assignment 1</t>
  </si>
  <si>
    <t>Assignmnet 2</t>
  </si>
  <si>
    <t>Total</t>
  </si>
  <si>
    <t>Knitting Action</t>
  </si>
  <si>
    <t>p</t>
  </si>
  <si>
    <t>Comments on 1st Assignemnt</t>
  </si>
  <si>
    <t>Comments on 2nd Assignemnt</t>
  </si>
  <si>
    <t>Marks</t>
  </si>
  <si>
    <t>Drew 3 Figures &amp; Not Clear</t>
  </si>
  <si>
    <t>Drew 3 Figures</t>
  </si>
  <si>
    <t>Not Submitted</t>
  </si>
  <si>
    <t>Omitted some actions</t>
  </si>
  <si>
    <t>Drew 3 Figures &amp; Omitted some actions</t>
  </si>
  <si>
    <t>NOAS</t>
  </si>
  <si>
    <t>CT</t>
  </si>
  <si>
    <t>NOCT</t>
  </si>
  <si>
    <t>BOEV</t>
  </si>
  <si>
    <t>Attendance</t>
  </si>
  <si>
    <t>Assignment</t>
  </si>
  <si>
    <t>Class Test</t>
  </si>
  <si>
    <t>Drew 3 Figures, Not Accurate &amp; Clear</t>
  </si>
  <si>
    <t>Tuck, Miss Loop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</si>
</sst>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  <font>
      <b/>
      <sz val="16"/>
      <color theme="8" tint="-0.499984740745262"/>
      <name val="Gill Sans MT"/>
      <family val="2"/>
    </font>
    <font>
      <b/>
      <sz val="16"/>
      <color rgb="FF000000"/>
      <name val="Gill Sans MT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DD0C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3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1" fillId="12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/>
    </xf>
    <xf numFmtId="0" fontId="7" fillId="15" borderId="4" xfId="0" applyFont="1" applyFill="1" applyBorder="1" applyAlignment="1">
      <alignment horizontal="center" vertical="center"/>
    </xf>
    <xf numFmtId="0" fontId="8" fillId="16" borderId="2" xfId="0" applyFont="1" applyFill="1" applyBorder="1" applyAlignment="1">
      <alignment horizontal="center" vertical="center"/>
    </xf>
    <xf numFmtId="0" fontId="8" fillId="16" borderId="4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4"/>
  <sheetViews>
    <sheetView zoomScale="112" workbookViewId="0">
      <pane xSplit="5" ySplit="3" topLeftCell="M35" activePane="bottomRight" state="frozen"/>
      <selection pane="topRight" activeCell="E1" sqref="E1"/>
      <selection pane="bottomLeft" activeCell="A4" sqref="A4"/>
      <selection pane="bottomRight" activeCell="N49" sqref="N49"/>
    </sheetView>
  </sheetViews>
  <sheetFormatPr defaultRowHeight="19.2" x14ac:dyDescent="0.5"/>
  <cols>
    <col min="1" max="1" width="6.21875" style="2" bestFit="1" customWidth="1"/>
    <col min="2" max="2" width="13.6640625" style="2" bestFit="1" customWidth="1"/>
    <col min="3" max="3" width="48.77734375" style="2" bestFit="1" customWidth="1"/>
    <col min="4" max="4" width="15" style="2" bestFit="1" customWidth="1"/>
    <col min="5" max="5" width="8.88671875" style="18"/>
    <col min="6" max="7" width="27.109375" style="2" bestFit="1" customWidth="1"/>
    <col min="8" max="9" width="34.88671875" style="2" bestFit="1" customWidth="1"/>
    <col min="10" max="10" width="30.77734375" style="2" customWidth="1"/>
    <col min="11" max="11" width="36.109375" style="2" bestFit="1" customWidth="1"/>
    <col min="12" max="12" width="31.33203125" style="2" bestFit="1" customWidth="1"/>
    <col min="13" max="13" width="30.77734375" style="2" customWidth="1"/>
    <col min="14" max="14" width="36.109375" style="2" bestFit="1" customWidth="1"/>
    <col min="15" max="20" width="30.77734375" style="2" customWidth="1"/>
    <col min="21" max="16384" width="8.88671875" style="2"/>
  </cols>
  <sheetData>
    <row r="1" spans="1:20" x14ac:dyDescent="0.3">
      <c r="A1" s="26" t="s">
        <v>45</v>
      </c>
      <c r="B1" s="26"/>
      <c r="C1" s="4" t="s">
        <v>43</v>
      </c>
      <c r="D1" s="4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x14ac:dyDescent="0.3">
      <c r="A2" s="4" t="s">
        <v>44</v>
      </c>
      <c r="B2" s="4">
        <f>COUNT(A4:A44)</f>
        <v>41</v>
      </c>
      <c r="C2" s="4" t="s">
        <v>49</v>
      </c>
      <c r="D2" s="4"/>
      <c r="E2" s="4"/>
      <c r="F2" s="6">
        <v>1</v>
      </c>
      <c r="G2" s="6">
        <f>F2+1</f>
        <v>2</v>
      </c>
      <c r="H2" s="6">
        <f t="shared" ref="H2:T2" si="0">G2+1</f>
        <v>3</v>
      </c>
      <c r="I2" s="6">
        <f t="shared" si="0"/>
        <v>4</v>
      </c>
      <c r="J2" s="6">
        <f t="shared" si="0"/>
        <v>5</v>
      </c>
      <c r="K2" s="6">
        <f t="shared" si="0"/>
        <v>6</v>
      </c>
      <c r="L2" s="6">
        <f t="shared" si="0"/>
        <v>7</v>
      </c>
      <c r="M2" s="6">
        <f t="shared" si="0"/>
        <v>8</v>
      </c>
      <c r="N2" s="6">
        <f t="shared" si="0"/>
        <v>9</v>
      </c>
      <c r="O2" s="6">
        <f t="shared" si="0"/>
        <v>10</v>
      </c>
      <c r="P2" s="6">
        <f t="shared" si="0"/>
        <v>11</v>
      </c>
      <c r="Q2" s="6">
        <f t="shared" si="0"/>
        <v>12</v>
      </c>
      <c r="R2" s="6">
        <f>Q2+1</f>
        <v>13</v>
      </c>
      <c r="S2" s="6">
        <f t="shared" si="0"/>
        <v>14</v>
      </c>
      <c r="T2" s="6">
        <f t="shared" si="0"/>
        <v>15</v>
      </c>
    </row>
    <row r="3" spans="1:20" s="10" customFormat="1" x14ac:dyDescent="0.3">
      <c r="A3" s="3" t="s">
        <v>0</v>
      </c>
      <c r="B3" s="3" t="s">
        <v>1</v>
      </c>
      <c r="C3" s="3" t="s">
        <v>2</v>
      </c>
      <c r="D3" s="3" t="s">
        <v>48</v>
      </c>
      <c r="E3" s="3" t="s">
        <v>58</v>
      </c>
      <c r="F3" s="9">
        <v>46257</v>
      </c>
      <c r="G3" s="9">
        <v>46264</v>
      </c>
      <c r="H3" s="9">
        <v>46267</v>
      </c>
      <c r="I3" s="9">
        <v>46274</v>
      </c>
      <c r="J3" s="9">
        <v>46278</v>
      </c>
      <c r="K3" s="9">
        <v>46281</v>
      </c>
      <c r="L3" s="9">
        <v>46285</v>
      </c>
      <c r="M3" s="9">
        <v>46292</v>
      </c>
      <c r="N3" s="9">
        <v>46295</v>
      </c>
      <c r="O3" s="9"/>
      <c r="P3" s="9"/>
      <c r="Q3" s="9"/>
      <c r="R3" s="9"/>
      <c r="S3" s="9"/>
      <c r="T3" s="9"/>
    </row>
    <row r="4" spans="1:20" x14ac:dyDescent="0.3">
      <c r="A4" s="1">
        <v>1</v>
      </c>
      <c r="B4" s="1">
        <v>25011001001</v>
      </c>
      <c r="C4" s="1" t="s">
        <v>3</v>
      </c>
      <c r="D4" s="8">
        <f t="shared" ref="D4:D44" si="1">COUNTIF(F4:T4,"P")/(COUNTIF(F4:T4,"P")+COUNTIF(F4:T4,"A"))</f>
        <v>0.88888888888888884</v>
      </c>
      <c r="E4" s="1" cm="1">
        <f t="array" ref="E4">_xlfn.IFS(D4&gt;=90%,7.5,D4&gt;=80%,6,D4&gt;=70%,4.5,D4&gt;=60%,3,D4&lt;60%,0)</f>
        <v>6</v>
      </c>
      <c r="F4" s="7" t="s">
        <v>46</v>
      </c>
      <c r="G4" s="1" t="s">
        <v>47</v>
      </c>
      <c r="H4" s="1" t="s">
        <v>47</v>
      </c>
      <c r="I4" s="1" t="s">
        <v>47</v>
      </c>
      <c r="J4" s="1" t="s">
        <v>47</v>
      </c>
      <c r="K4" s="1" t="s">
        <v>47</v>
      </c>
      <c r="L4" s="1" t="s">
        <v>47</v>
      </c>
      <c r="M4" s="1" t="s">
        <v>47</v>
      </c>
      <c r="N4" s="1" t="s">
        <v>47</v>
      </c>
      <c r="O4" s="1"/>
      <c r="P4" s="1"/>
      <c r="Q4" s="1"/>
      <c r="R4" s="1"/>
      <c r="S4" s="1"/>
      <c r="T4" s="1"/>
    </row>
    <row r="5" spans="1:20" x14ac:dyDescent="0.3">
      <c r="A5" s="11">
        <f>A4+1</f>
        <v>2</v>
      </c>
      <c r="B5" s="11">
        <v>25011001003</v>
      </c>
      <c r="C5" s="1" t="s">
        <v>4</v>
      </c>
      <c r="D5" s="8">
        <f t="shared" si="1"/>
        <v>0.88888888888888884</v>
      </c>
      <c r="E5" s="1" cm="1">
        <f t="array" ref="E5">_xlfn.IFS(D5&gt;=90%,7.5,D5&gt;=80%,6,D5&gt;=70%,4.5,D5&gt;=60%,3,D5&lt;60%,0)</f>
        <v>6</v>
      </c>
      <c r="F5" s="1" t="s">
        <v>47</v>
      </c>
      <c r="G5" s="1" t="s">
        <v>47</v>
      </c>
      <c r="H5" s="1" t="s">
        <v>47</v>
      </c>
      <c r="I5" s="7" t="s">
        <v>46</v>
      </c>
      <c r="J5" s="1" t="s">
        <v>47</v>
      </c>
      <c r="K5" s="1" t="s">
        <v>47</v>
      </c>
      <c r="L5" s="1" t="s">
        <v>47</v>
      </c>
      <c r="M5" s="1" t="s">
        <v>47</v>
      </c>
      <c r="N5" s="1" t="s">
        <v>47</v>
      </c>
      <c r="O5" s="1"/>
      <c r="P5" s="1"/>
      <c r="Q5" s="1"/>
      <c r="R5" s="1"/>
      <c r="S5" s="1"/>
      <c r="T5" s="1"/>
    </row>
    <row r="6" spans="1:20" x14ac:dyDescent="0.3">
      <c r="A6" s="1">
        <f t="shared" ref="A6:A44" si="2">A5+1</f>
        <v>3</v>
      </c>
      <c r="B6" s="1">
        <v>25011001004</v>
      </c>
      <c r="C6" s="1" t="s">
        <v>5</v>
      </c>
      <c r="D6" s="8">
        <f t="shared" si="1"/>
        <v>0.77777777777777779</v>
      </c>
      <c r="E6" s="1" cm="1">
        <f t="array" ref="E6">_xlfn.IFS(D6&gt;=90%,7.5,D6&gt;=80%,6,D6&gt;=70%,4.5,D6&gt;=60%,3,D6&lt;60%,0)</f>
        <v>4.5</v>
      </c>
      <c r="F6" s="1" t="s">
        <v>47</v>
      </c>
      <c r="G6" s="1" t="s">
        <v>47</v>
      </c>
      <c r="H6" s="7" t="s">
        <v>46</v>
      </c>
      <c r="I6" s="1" t="s">
        <v>47</v>
      </c>
      <c r="J6" s="1" t="s">
        <v>47</v>
      </c>
      <c r="K6" s="7" t="s">
        <v>46</v>
      </c>
      <c r="L6" s="1" t="s">
        <v>47</v>
      </c>
      <c r="M6" s="1" t="s">
        <v>47</v>
      </c>
      <c r="N6" s="1" t="s">
        <v>47</v>
      </c>
      <c r="O6" s="1"/>
      <c r="P6" s="1"/>
      <c r="Q6" s="1"/>
      <c r="R6" s="1"/>
      <c r="S6" s="1"/>
      <c r="T6" s="1"/>
    </row>
    <row r="7" spans="1:20" x14ac:dyDescent="0.3">
      <c r="A7" s="1">
        <f t="shared" si="2"/>
        <v>4</v>
      </c>
      <c r="B7" s="1">
        <v>25011001005</v>
      </c>
      <c r="C7" s="1" t="s">
        <v>6</v>
      </c>
      <c r="D7" s="8">
        <f t="shared" si="1"/>
        <v>1</v>
      </c>
      <c r="E7" s="1" cm="1">
        <f t="array" ref="E7">_xlfn.IFS(D7&gt;=90%,7.5,D7&gt;=80%,6,D7&gt;=70%,4.5,D7&gt;=60%,3,D7&lt;60%,0)</f>
        <v>7.5</v>
      </c>
      <c r="F7" s="1" t="s">
        <v>47</v>
      </c>
      <c r="G7" s="1" t="s">
        <v>47</v>
      </c>
      <c r="H7" s="1" t="s">
        <v>47</v>
      </c>
      <c r="I7" s="1" t="s">
        <v>47</v>
      </c>
      <c r="J7" s="1" t="s">
        <v>47</v>
      </c>
      <c r="K7" s="1" t="s">
        <v>47</v>
      </c>
      <c r="L7" s="1" t="s">
        <v>47</v>
      </c>
      <c r="M7" s="1" t="s">
        <v>47</v>
      </c>
      <c r="N7" s="1" t="s">
        <v>47</v>
      </c>
      <c r="O7" s="1"/>
      <c r="P7" s="1"/>
      <c r="Q7" s="1"/>
      <c r="R7" s="1"/>
      <c r="S7" s="1"/>
      <c r="T7" s="1"/>
    </row>
    <row r="8" spans="1:20" x14ac:dyDescent="0.3">
      <c r="A8" s="1">
        <f t="shared" si="2"/>
        <v>5</v>
      </c>
      <c r="B8" s="1">
        <v>25011001006</v>
      </c>
      <c r="C8" s="1" t="s">
        <v>7</v>
      </c>
      <c r="D8" s="8">
        <f t="shared" si="1"/>
        <v>1</v>
      </c>
      <c r="E8" s="1" cm="1">
        <f t="array" ref="E8">_xlfn.IFS(D8&gt;=90%,7.5,D8&gt;=80%,6,D8&gt;=70%,4.5,D8&gt;=60%,3,D8&lt;60%,0)</f>
        <v>7.5</v>
      </c>
      <c r="F8" s="1" t="s">
        <v>47</v>
      </c>
      <c r="G8" s="1" t="s">
        <v>47</v>
      </c>
      <c r="H8" s="1" t="s">
        <v>47</v>
      </c>
      <c r="I8" s="1" t="s">
        <v>47</v>
      </c>
      <c r="J8" s="1" t="s">
        <v>47</v>
      </c>
      <c r="K8" s="1" t="s">
        <v>47</v>
      </c>
      <c r="L8" s="1" t="s">
        <v>47</v>
      </c>
      <c r="M8" s="1" t="s">
        <v>47</v>
      </c>
      <c r="N8" s="1" t="s">
        <v>47</v>
      </c>
      <c r="O8" s="1"/>
      <c r="P8" s="1"/>
      <c r="Q8" s="1"/>
      <c r="R8" s="1"/>
      <c r="S8" s="1"/>
      <c r="T8" s="1"/>
    </row>
    <row r="9" spans="1:20" x14ac:dyDescent="0.3">
      <c r="A9" s="1">
        <f t="shared" si="2"/>
        <v>6</v>
      </c>
      <c r="B9" s="1">
        <v>25011001007</v>
      </c>
      <c r="C9" s="1" t="s">
        <v>8</v>
      </c>
      <c r="D9" s="8">
        <f t="shared" si="1"/>
        <v>0.77777777777777779</v>
      </c>
      <c r="E9" s="1" cm="1">
        <f t="array" ref="E9">_xlfn.IFS(D9&gt;=90%,7.5,D9&gt;=80%,6,D9&gt;=70%,4.5,D9&gt;=60%,3,D9&lt;60%,0)</f>
        <v>4.5</v>
      </c>
      <c r="F9" s="1" t="s">
        <v>47</v>
      </c>
      <c r="G9" s="1" t="s">
        <v>47</v>
      </c>
      <c r="H9" s="7" t="s">
        <v>46</v>
      </c>
      <c r="I9" s="1" t="s">
        <v>47</v>
      </c>
      <c r="J9" s="7" t="s">
        <v>46</v>
      </c>
      <c r="K9" s="1" t="s">
        <v>47</v>
      </c>
      <c r="L9" s="1" t="s">
        <v>47</v>
      </c>
      <c r="M9" s="1" t="s">
        <v>47</v>
      </c>
      <c r="N9" s="1" t="s">
        <v>47</v>
      </c>
      <c r="O9" s="1"/>
      <c r="P9" s="1"/>
      <c r="Q9" s="1"/>
      <c r="R9" s="1"/>
      <c r="S9" s="1"/>
      <c r="T9" s="1"/>
    </row>
    <row r="10" spans="1:20" x14ac:dyDescent="0.3">
      <c r="A10" s="1">
        <f t="shared" si="2"/>
        <v>7</v>
      </c>
      <c r="B10" s="1">
        <v>25011001008</v>
      </c>
      <c r="C10" s="1" t="s">
        <v>9</v>
      </c>
      <c r="D10" s="8">
        <f t="shared" si="1"/>
        <v>0.77777777777777779</v>
      </c>
      <c r="E10" s="1" cm="1">
        <f t="array" ref="E10">_xlfn.IFS(D10&gt;=90%,7.5,D10&gt;=80%,6,D10&gt;=70%,4.5,D10&gt;=60%,3,D10&lt;60%,0)</f>
        <v>4.5</v>
      </c>
      <c r="F10" s="1" t="s">
        <v>47</v>
      </c>
      <c r="G10" s="1" t="s">
        <v>47</v>
      </c>
      <c r="H10" s="7" t="s">
        <v>46</v>
      </c>
      <c r="I10" s="1" t="s">
        <v>47</v>
      </c>
      <c r="J10" s="7" t="s">
        <v>46</v>
      </c>
      <c r="K10" s="1" t="s">
        <v>47</v>
      </c>
      <c r="L10" s="1" t="s">
        <v>47</v>
      </c>
      <c r="M10" s="1" t="s">
        <v>47</v>
      </c>
      <c r="N10" s="1" t="s">
        <v>47</v>
      </c>
      <c r="O10" s="1"/>
      <c r="P10" s="1"/>
      <c r="Q10" s="1"/>
      <c r="R10" s="1"/>
      <c r="S10" s="1"/>
      <c r="T10" s="1"/>
    </row>
    <row r="11" spans="1:20" x14ac:dyDescent="0.3">
      <c r="A11" s="1">
        <f t="shared" si="2"/>
        <v>8</v>
      </c>
      <c r="B11" s="1">
        <v>25011001009</v>
      </c>
      <c r="C11" s="1" t="s">
        <v>10</v>
      </c>
      <c r="D11" s="8">
        <f t="shared" si="1"/>
        <v>0.88888888888888884</v>
      </c>
      <c r="E11" s="1" cm="1">
        <f t="array" ref="E11">_xlfn.IFS(D11&gt;=90%,7.5,D11&gt;=80%,6,D11&gt;=70%,4.5,D11&gt;=60%,3,D11&lt;60%,0)</f>
        <v>6</v>
      </c>
      <c r="F11" s="1" t="s">
        <v>47</v>
      </c>
      <c r="G11" s="1" t="s">
        <v>47</v>
      </c>
      <c r="H11" s="1" t="s">
        <v>47</v>
      </c>
      <c r="I11" s="1" t="s">
        <v>47</v>
      </c>
      <c r="J11" s="1" t="s">
        <v>47</v>
      </c>
      <c r="K11" s="1" t="s">
        <v>47</v>
      </c>
      <c r="L11" s="1" t="s">
        <v>47</v>
      </c>
      <c r="M11" s="1" t="s">
        <v>47</v>
      </c>
      <c r="N11" s="7" t="s">
        <v>46</v>
      </c>
      <c r="O11" s="1"/>
      <c r="P11" s="1"/>
      <c r="Q11" s="1"/>
      <c r="R11" s="1"/>
      <c r="S11" s="1"/>
      <c r="T11" s="1"/>
    </row>
    <row r="12" spans="1:20" x14ac:dyDescent="0.3">
      <c r="A12" s="16">
        <f t="shared" si="2"/>
        <v>9</v>
      </c>
      <c r="B12" s="1">
        <v>25011001011</v>
      </c>
      <c r="C12" s="1" t="s">
        <v>11</v>
      </c>
      <c r="D12" s="8">
        <f t="shared" si="1"/>
        <v>0.77777777777777779</v>
      </c>
      <c r="E12" s="1" cm="1">
        <f t="array" ref="E12">_xlfn.IFS(D12&gt;=90%,7.5,D12&gt;=80%,6,D12&gt;=70%,4.5,D12&gt;=60%,3,D12&lt;60%,0)</f>
        <v>4.5</v>
      </c>
      <c r="F12" s="7" t="s">
        <v>46</v>
      </c>
      <c r="G12" s="7" t="s">
        <v>46</v>
      </c>
      <c r="H12" s="1" t="s">
        <v>47</v>
      </c>
      <c r="I12" s="1" t="s">
        <v>47</v>
      </c>
      <c r="J12" s="1" t="s">
        <v>47</v>
      </c>
      <c r="K12" s="1" t="s">
        <v>47</v>
      </c>
      <c r="L12" s="1" t="s">
        <v>47</v>
      </c>
      <c r="M12" s="1" t="s">
        <v>47</v>
      </c>
      <c r="N12" s="1" t="s">
        <v>47</v>
      </c>
      <c r="O12" s="1"/>
      <c r="P12" s="1"/>
      <c r="Q12" s="1"/>
      <c r="R12" s="1"/>
      <c r="S12" s="1"/>
      <c r="T12" s="1"/>
    </row>
    <row r="13" spans="1:20" x14ac:dyDescent="0.3">
      <c r="A13" s="1">
        <f t="shared" si="2"/>
        <v>10</v>
      </c>
      <c r="B13" s="1">
        <v>25011001013</v>
      </c>
      <c r="C13" s="1" t="s">
        <v>12</v>
      </c>
      <c r="D13" s="8">
        <f t="shared" si="1"/>
        <v>1</v>
      </c>
      <c r="E13" s="1" cm="1">
        <f t="array" ref="E13">_xlfn.IFS(D13&gt;=90%,7.5,D13&gt;=80%,6,D13&gt;=70%,4.5,D13&gt;=60%,3,D13&lt;60%,0)</f>
        <v>7.5</v>
      </c>
      <c r="F13" s="1" t="s">
        <v>47</v>
      </c>
      <c r="G13" s="1" t="s">
        <v>47</v>
      </c>
      <c r="H13" s="1" t="s">
        <v>47</v>
      </c>
      <c r="I13" s="1" t="s">
        <v>47</v>
      </c>
      <c r="J13" s="1" t="s">
        <v>47</v>
      </c>
      <c r="K13" s="1" t="s">
        <v>47</v>
      </c>
      <c r="L13" s="1" t="s">
        <v>47</v>
      </c>
      <c r="M13" s="1" t="s">
        <v>47</v>
      </c>
      <c r="N13" s="1" t="s">
        <v>47</v>
      </c>
      <c r="O13" s="1"/>
      <c r="P13" s="1"/>
      <c r="Q13" s="1"/>
      <c r="R13" s="1"/>
      <c r="S13" s="1"/>
      <c r="T13" s="1"/>
    </row>
    <row r="14" spans="1:20" x14ac:dyDescent="0.3">
      <c r="A14" s="1">
        <f t="shared" si="2"/>
        <v>11</v>
      </c>
      <c r="B14" s="1">
        <v>25011001015</v>
      </c>
      <c r="C14" s="1" t="s">
        <v>13</v>
      </c>
      <c r="D14" s="8">
        <f t="shared" si="1"/>
        <v>0.66666666666666663</v>
      </c>
      <c r="E14" s="1" cm="1">
        <f t="array" ref="E14">_xlfn.IFS(D14&gt;=90%,7.5,D14&gt;=80%,6,D14&gt;=70%,4.5,D14&gt;=60%,3,D14&lt;60%,0)</f>
        <v>3</v>
      </c>
      <c r="F14" s="7" t="s">
        <v>46</v>
      </c>
      <c r="G14" s="1" t="s">
        <v>47</v>
      </c>
      <c r="H14" s="1" t="s">
        <v>47</v>
      </c>
      <c r="I14" s="1" t="s">
        <v>47</v>
      </c>
      <c r="J14" s="7" t="s">
        <v>46</v>
      </c>
      <c r="K14" s="7" t="s">
        <v>46</v>
      </c>
      <c r="L14" s="1" t="s">
        <v>47</v>
      </c>
      <c r="M14" s="1" t="s">
        <v>47</v>
      </c>
      <c r="N14" s="1" t="s">
        <v>47</v>
      </c>
      <c r="O14" s="1"/>
      <c r="P14" s="1"/>
      <c r="Q14" s="1"/>
      <c r="R14" s="1"/>
      <c r="S14" s="1"/>
      <c r="T14" s="1"/>
    </row>
    <row r="15" spans="1:20" x14ac:dyDescent="0.3">
      <c r="A15" s="1">
        <f t="shared" si="2"/>
        <v>12</v>
      </c>
      <c r="B15" s="1">
        <v>25011001016</v>
      </c>
      <c r="C15" s="1" t="s">
        <v>14</v>
      </c>
      <c r="D15" s="8">
        <f t="shared" si="1"/>
        <v>1</v>
      </c>
      <c r="E15" s="1" cm="1">
        <f t="array" ref="E15">_xlfn.IFS(D15&gt;=90%,7.5,D15&gt;=80%,6,D15&gt;=70%,4.5,D15&gt;=60%,3,D15&lt;60%,0)</f>
        <v>7.5</v>
      </c>
      <c r="F15" s="1" t="s">
        <v>47</v>
      </c>
      <c r="G15" s="1" t="s">
        <v>47</v>
      </c>
      <c r="H15" s="1" t="s">
        <v>47</v>
      </c>
      <c r="I15" s="1" t="s">
        <v>47</v>
      </c>
      <c r="J15" s="1" t="s">
        <v>47</v>
      </c>
      <c r="K15" s="1" t="s">
        <v>47</v>
      </c>
      <c r="L15" s="1" t="s">
        <v>47</v>
      </c>
      <c r="M15" s="1" t="s">
        <v>47</v>
      </c>
      <c r="N15" s="1" t="s">
        <v>47</v>
      </c>
      <c r="O15" s="1"/>
      <c r="P15" s="1"/>
      <c r="Q15" s="1"/>
      <c r="R15" s="1"/>
      <c r="S15" s="1"/>
      <c r="T15" s="1"/>
    </row>
    <row r="16" spans="1:20" x14ac:dyDescent="0.3">
      <c r="A16" s="1">
        <f t="shared" si="2"/>
        <v>13</v>
      </c>
      <c r="B16" s="1">
        <v>25011001017</v>
      </c>
      <c r="C16" s="1" t="s">
        <v>15</v>
      </c>
      <c r="D16" s="8">
        <f t="shared" si="1"/>
        <v>1</v>
      </c>
      <c r="E16" s="1" cm="1">
        <f t="array" ref="E16">_xlfn.IFS(D16&gt;=90%,7.5,D16&gt;=80%,6,D16&gt;=70%,4.5,D16&gt;=60%,3,D16&lt;60%,0)</f>
        <v>7.5</v>
      </c>
      <c r="F16" s="1" t="s">
        <v>47</v>
      </c>
      <c r="G16" s="1" t="s">
        <v>47</v>
      </c>
      <c r="H16" s="1" t="s">
        <v>47</v>
      </c>
      <c r="I16" s="1" t="s">
        <v>47</v>
      </c>
      <c r="J16" s="1" t="s">
        <v>47</v>
      </c>
      <c r="K16" s="1" t="s">
        <v>47</v>
      </c>
      <c r="L16" s="1" t="s">
        <v>47</v>
      </c>
      <c r="M16" s="1" t="s">
        <v>47</v>
      </c>
      <c r="N16" s="1" t="s">
        <v>47</v>
      </c>
      <c r="O16" s="1"/>
      <c r="P16" s="1"/>
      <c r="Q16" s="1"/>
      <c r="R16" s="1"/>
      <c r="S16" s="1"/>
      <c r="T16" s="1"/>
    </row>
    <row r="17" spans="1:20" x14ac:dyDescent="0.3">
      <c r="A17" s="1">
        <f t="shared" si="2"/>
        <v>14</v>
      </c>
      <c r="B17" s="1">
        <v>25011001018</v>
      </c>
      <c r="C17" s="1" t="s">
        <v>16</v>
      </c>
      <c r="D17" s="8">
        <f t="shared" si="1"/>
        <v>0.33333333333333331</v>
      </c>
      <c r="E17" s="1" cm="1">
        <f t="array" ref="E17">_xlfn.IFS(D17&gt;=90%,7.5,D17&gt;=80%,6,D17&gt;=70%,4.5,D17&gt;=60%,3,D17&lt;60%,0)</f>
        <v>0</v>
      </c>
      <c r="F17" s="1" t="s">
        <v>47</v>
      </c>
      <c r="G17" s="7" t="s">
        <v>46</v>
      </c>
      <c r="H17" s="7" t="s">
        <v>46</v>
      </c>
      <c r="I17" s="1" t="s">
        <v>47</v>
      </c>
      <c r="J17" s="1" t="s">
        <v>47</v>
      </c>
      <c r="K17" s="7" t="s">
        <v>46</v>
      </c>
      <c r="L17" s="7" t="s">
        <v>46</v>
      </c>
      <c r="M17" s="7" t="s">
        <v>46</v>
      </c>
      <c r="N17" s="7" t="s">
        <v>46</v>
      </c>
      <c r="O17" s="1"/>
      <c r="P17" s="1"/>
      <c r="Q17" s="1"/>
      <c r="R17" s="1"/>
      <c r="S17" s="1"/>
      <c r="T17" s="1"/>
    </row>
    <row r="18" spans="1:20" x14ac:dyDescent="0.3">
      <c r="A18" s="1">
        <f t="shared" si="2"/>
        <v>15</v>
      </c>
      <c r="B18" s="1">
        <v>25011001019</v>
      </c>
      <c r="C18" s="1" t="s">
        <v>17</v>
      </c>
      <c r="D18" s="8">
        <f t="shared" si="1"/>
        <v>1</v>
      </c>
      <c r="E18" s="1" cm="1">
        <f t="array" ref="E18">_xlfn.IFS(D18&gt;=90%,7.5,D18&gt;=80%,6,D18&gt;=70%,4.5,D18&gt;=60%,3,D18&lt;60%,0)</f>
        <v>7.5</v>
      </c>
      <c r="F18" s="1" t="s">
        <v>47</v>
      </c>
      <c r="G18" s="1" t="s">
        <v>47</v>
      </c>
      <c r="H18" s="1" t="s">
        <v>55</v>
      </c>
      <c r="I18" s="1" t="s">
        <v>47</v>
      </c>
      <c r="J18" s="1" t="s">
        <v>47</v>
      </c>
      <c r="K18" s="1" t="s">
        <v>47</v>
      </c>
      <c r="L18" s="1" t="s">
        <v>47</v>
      </c>
      <c r="M18" s="1" t="s">
        <v>47</v>
      </c>
      <c r="N18" s="1" t="s">
        <v>47</v>
      </c>
      <c r="O18" s="1"/>
      <c r="P18" s="1"/>
      <c r="Q18" s="1"/>
      <c r="R18" s="1"/>
      <c r="S18" s="1"/>
      <c r="T18" s="1"/>
    </row>
    <row r="19" spans="1:20" x14ac:dyDescent="0.3">
      <c r="A19" s="1">
        <f t="shared" si="2"/>
        <v>16</v>
      </c>
      <c r="B19" s="1">
        <v>25011001020</v>
      </c>
      <c r="C19" s="1" t="s">
        <v>18</v>
      </c>
      <c r="D19" s="8">
        <f t="shared" si="1"/>
        <v>0.77777777777777779</v>
      </c>
      <c r="E19" s="1" cm="1">
        <f t="array" ref="E19">_xlfn.IFS(D19&gt;=90%,7.5,D19&gt;=80%,6,D19&gt;=70%,4.5,D19&gt;=60%,3,D19&lt;60%,0)</f>
        <v>4.5</v>
      </c>
      <c r="F19" s="1" t="s">
        <v>47</v>
      </c>
      <c r="G19" s="1" t="s">
        <v>47</v>
      </c>
      <c r="H19" s="7" t="s">
        <v>46</v>
      </c>
      <c r="I19" s="1" t="s">
        <v>47</v>
      </c>
      <c r="J19" s="7" t="s">
        <v>46</v>
      </c>
      <c r="K19" s="1" t="s">
        <v>47</v>
      </c>
      <c r="L19" s="1" t="s">
        <v>47</v>
      </c>
      <c r="M19" s="1" t="s">
        <v>47</v>
      </c>
      <c r="N19" s="1" t="s">
        <v>47</v>
      </c>
      <c r="O19" s="1"/>
      <c r="P19" s="1"/>
      <c r="Q19" s="1"/>
      <c r="R19" s="1"/>
      <c r="S19" s="1"/>
      <c r="T19" s="1"/>
    </row>
    <row r="20" spans="1:20" x14ac:dyDescent="0.3">
      <c r="A20" s="1">
        <f t="shared" si="2"/>
        <v>17</v>
      </c>
      <c r="B20" s="1">
        <v>25011001021</v>
      </c>
      <c r="C20" s="1" t="s">
        <v>19</v>
      </c>
      <c r="D20" s="8">
        <f t="shared" si="1"/>
        <v>0.88888888888888884</v>
      </c>
      <c r="E20" s="1" cm="1">
        <f t="array" ref="E20">_xlfn.IFS(D20&gt;=90%,7.5,D20&gt;=80%,6,D20&gt;=70%,4.5,D20&gt;=60%,3,D20&lt;60%,0)</f>
        <v>6</v>
      </c>
      <c r="F20" s="1" t="s">
        <v>47</v>
      </c>
      <c r="G20" s="1" t="s">
        <v>47</v>
      </c>
      <c r="H20" s="1" t="s">
        <v>55</v>
      </c>
      <c r="I20" s="1" t="s">
        <v>47</v>
      </c>
      <c r="J20" s="1" t="s">
        <v>47</v>
      </c>
      <c r="K20" s="1" t="s">
        <v>47</v>
      </c>
      <c r="L20" s="7" t="s">
        <v>46</v>
      </c>
      <c r="M20" s="1" t="s">
        <v>47</v>
      </c>
      <c r="N20" s="1" t="s">
        <v>47</v>
      </c>
      <c r="O20" s="1"/>
      <c r="P20" s="1"/>
      <c r="Q20" s="1"/>
      <c r="R20" s="1"/>
      <c r="S20" s="1"/>
      <c r="T20" s="1"/>
    </row>
    <row r="21" spans="1:20" x14ac:dyDescent="0.3">
      <c r="A21" s="1">
        <f t="shared" si="2"/>
        <v>18</v>
      </c>
      <c r="B21" s="1">
        <v>25011001022</v>
      </c>
      <c r="C21" s="1" t="s">
        <v>20</v>
      </c>
      <c r="D21" s="8">
        <f t="shared" si="1"/>
        <v>1</v>
      </c>
      <c r="E21" s="1" cm="1">
        <f t="array" ref="E21">_xlfn.IFS(D21&gt;=90%,7.5,D21&gt;=80%,6,D21&gt;=70%,4.5,D21&gt;=60%,3,D21&lt;60%,0)</f>
        <v>7.5</v>
      </c>
      <c r="F21" s="1" t="s">
        <v>47</v>
      </c>
      <c r="G21" s="1" t="s">
        <v>47</v>
      </c>
      <c r="H21" s="1" t="s">
        <v>55</v>
      </c>
      <c r="I21" s="1" t="s">
        <v>47</v>
      </c>
      <c r="J21" s="1" t="s">
        <v>47</v>
      </c>
      <c r="K21" s="1" t="s">
        <v>47</v>
      </c>
      <c r="L21" s="1" t="s">
        <v>47</v>
      </c>
      <c r="M21" s="1" t="s">
        <v>47</v>
      </c>
      <c r="N21" s="1" t="s">
        <v>47</v>
      </c>
      <c r="O21" s="1"/>
      <c r="P21" s="1"/>
      <c r="Q21" s="1"/>
      <c r="R21" s="1"/>
      <c r="S21" s="1"/>
      <c r="T21" s="1"/>
    </row>
    <row r="22" spans="1:20" x14ac:dyDescent="0.3">
      <c r="A22" s="1">
        <f t="shared" si="2"/>
        <v>19</v>
      </c>
      <c r="B22" s="1">
        <v>25011001023</v>
      </c>
      <c r="C22" s="1" t="s">
        <v>21</v>
      </c>
      <c r="D22" s="8">
        <f t="shared" si="1"/>
        <v>1</v>
      </c>
      <c r="E22" s="1" cm="1">
        <f t="array" ref="E22">_xlfn.IFS(D22&gt;=90%,7.5,D22&gt;=80%,6,D22&gt;=70%,4.5,D22&gt;=60%,3,D22&lt;60%,0)</f>
        <v>7.5</v>
      </c>
      <c r="F22" s="1" t="s">
        <v>47</v>
      </c>
      <c r="G22" s="1" t="s">
        <v>47</v>
      </c>
      <c r="H22" s="1" t="s">
        <v>55</v>
      </c>
      <c r="I22" s="1" t="s">
        <v>47</v>
      </c>
      <c r="J22" s="1" t="s">
        <v>47</v>
      </c>
      <c r="K22" s="1" t="s">
        <v>47</v>
      </c>
      <c r="L22" s="1" t="s">
        <v>47</v>
      </c>
      <c r="M22" s="1" t="s">
        <v>47</v>
      </c>
      <c r="N22" s="1" t="s">
        <v>47</v>
      </c>
      <c r="O22" s="1"/>
      <c r="P22" s="1"/>
      <c r="Q22" s="1"/>
      <c r="R22" s="1"/>
      <c r="S22" s="1"/>
      <c r="T22" s="1"/>
    </row>
    <row r="23" spans="1:20" x14ac:dyDescent="0.3">
      <c r="A23" s="1">
        <f t="shared" si="2"/>
        <v>20</v>
      </c>
      <c r="B23" s="1">
        <v>25011001024</v>
      </c>
      <c r="C23" s="1" t="s">
        <v>22</v>
      </c>
      <c r="D23" s="8">
        <f t="shared" si="1"/>
        <v>0.88888888888888884</v>
      </c>
      <c r="E23" s="1" cm="1">
        <f t="array" ref="E23">_xlfn.IFS(D23&gt;=90%,7.5,D23&gt;=80%,6,D23&gt;=70%,4.5,D23&gt;=60%,3,D23&lt;60%,0)</f>
        <v>6</v>
      </c>
      <c r="F23" s="1" t="s">
        <v>47</v>
      </c>
      <c r="G23" s="7" t="s">
        <v>46</v>
      </c>
      <c r="H23" s="1" t="s">
        <v>55</v>
      </c>
      <c r="I23" s="1" t="s">
        <v>47</v>
      </c>
      <c r="J23" s="1" t="s">
        <v>47</v>
      </c>
      <c r="K23" s="1" t="s">
        <v>47</v>
      </c>
      <c r="L23" s="1" t="s">
        <v>47</v>
      </c>
      <c r="M23" s="1" t="s">
        <v>47</v>
      </c>
      <c r="N23" s="1" t="s">
        <v>47</v>
      </c>
      <c r="O23" s="1"/>
      <c r="P23" s="1"/>
      <c r="Q23" s="1"/>
      <c r="R23" s="1"/>
      <c r="S23" s="1"/>
      <c r="T23" s="1"/>
    </row>
    <row r="24" spans="1:20" x14ac:dyDescent="0.3">
      <c r="A24" s="1">
        <f t="shared" si="2"/>
        <v>21</v>
      </c>
      <c r="B24" s="1">
        <v>25011001025</v>
      </c>
      <c r="C24" s="1" t="s">
        <v>23</v>
      </c>
      <c r="D24" s="8">
        <f t="shared" si="1"/>
        <v>0.77777777777777779</v>
      </c>
      <c r="E24" s="1" cm="1">
        <f t="array" ref="E24">_xlfn.IFS(D24&gt;=90%,7.5,D24&gt;=80%,6,D24&gt;=70%,4.5,D24&gt;=60%,3,D24&lt;60%,0)</f>
        <v>4.5</v>
      </c>
      <c r="F24" s="1" t="s">
        <v>47</v>
      </c>
      <c r="G24" s="7" t="s">
        <v>46</v>
      </c>
      <c r="H24" s="1" t="s">
        <v>55</v>
      </c>
      <c r="I24" s="1" t="s">
        <v>47</v>
      </c>
      <c r="J24" s="1" t="s">
        <v>47</v>
      </c>
      <c r="K24" s="7" t="s">
        <v>46</v>
      </c>
      <c r="L24" s="1" t="s">
        <v>47</v>
      </c>
      <c r="M24" s="1" t="s">
        <v>47</v>
      </c>
      <c r="N24" s="1" t="s">
        <v>47</v>
      </c>
      <c r="O24" s="1"/>
      <c r="P24" s="1"/>
      <c r="Q24" s="1"/>
      <c r="R24" s="1"/>
      <c r="S24" s="1"/>
      <c r="T24" s="1"/>
    </row>
    <row r="25" spans="1:20" x14ac:dyDescent="0.3">
      <c r="A25" s="1">
        <f t="shared" si="2"/>
        <v>22</v>
      </c>
      <c r="B25" s="1">
        <v>25011001026</v>
      </c>
      <c r="C25" s="1" t="s">
        <v>24</v>
      </c>
      <c r="D25" s="8">
        <f t="shared" si="1"/>
        <v>0.77777777777777779</v>
      </c>
      <c r="E25" s="1" cm="1">
        <f t="array" ref="E25">_xlfn.IFS(D25&gt;=90%,7.5,D25&gt;=80%,6,D25&gt;=70%,4.5,D25&gt;=60%,3,D25&lt;60%,0)</f>
        <v>4.5</v>
      </c>
      <c r="F25" s="7" t="s">
        <v>46</v>
      </c>
      <c r="G25" s="1" t="s">
        <v>47</v>
      </c>
      <c r="H25" s="1" t="s">
        <v>55</v>
      </c>
      <c r="I25" s="1" t="s">
        <v>47</v>
      </c>
      <c r="J25" s="1" t="s">
        <v>47</v>
      </c>
      <c r="K25" s="1" t="s">
        <v>47</v>
      </c>
      <c r="L25" s="1" t="s">
        <v>47</v>
      </c>
      <c r="M25" s="1" t="s">
        <v>47</v>
      </c>
      <c r="N25" s="7" t="s">
        <v>46</v>
      </c>
      <c r="O25" s="1"/>
      <c r="P25" s="1"/>
      <c r="Q25" s="1"/>
      <c r="R25" s="1"/>
      <c r="S25" s="1"/>
      <c r="T25" s="1"/>
    </row>
    <row r="26" spans="1:20" x14ac:dyDescent="0.3">
      <c r="A26" s="1">
        <f t="shared" si="2"/>
        <v>23</v>
      </c>
      <c r="B26" s="1">
        <v>25011001027</v>
      </c>
      <c r="C26" s="1" t="s">
        <v>25</v>
      </c>
      <c r="D26" s="8">
        <f t="shared" si="1"/>
        <v>0.88888888888888884</v>
      </c>
      <c r="E26" s="1" cm="1">
        <f t="array" ref="E26">_xlfn.IFS(D26&gt;=90%,7.5,D26&gt;=80%,6,D26&gt;=70%,4.5,D26&gt;=60%,3,D26&lt;60%,0)</f>
        <v>6</v>
      </c>
      <c r="F26" s="1" t="s">
        <v>47</v>
      </c>
      <c r="G26" s="1" t="s">
        <v>47</v>
      </c>
      <c r="H26" s="1" t="s">
        <v>55</v>
      </c>
      <c r="I26" s="1" t="s">
        <v>47</v>
      </c>
      <c r="J26" s="1" t="s">
        <v>47</v>
      </c>
      <c r="K26" s="1" t="s">
        <v>47</v>
      </c>
      <c r="L26" s="7" t="s">
        <v>46</v>
      </c>
      <c r="M26" s="1" t="s">
        <v>47</v>
      </c>
      <c r="N26" s="1" t="s">
        <v>47</v>
      </c>
      <c r="O26" s="1"/>
      <c r="P26" s="1"/>
      <c r="Q26" s="1"/>
      <c r="R26" s="1"/>
      <c r="S26" s="1"/>
      <c r="T26" s="1"/>
    </row>
    <row r="27" spans="1:20" x14ac:dyDescent="0.3">
      <c r="A27" s="1">
        <f t="shared" si="2"/>
        <v>24</v>
      </c>
      <c r="B27" s="1">
        <v>25011001028</v>
      </c>
      <c r="C27" s="1" t="s">
        <v>26</v>
      </c>
      <c r="D27" s="8">
        <f t="shared" si="1"/>
        <v>1</v>
      </c>
      <c r="E27" s="1" cm="1">
        <f t="array" ref="E27">_xlfn.IFS(D27&gt;=90%,7.5,D27&gt;=80%,6,D27&gt;=70%,4.5,D27&gt;=60%,3,D27&lt;60%,0)</f>
        <v>7.5</v>
      </c>
      <c r="F27" s="1" t="s">
        <v>47</v>
      </c>
      <c r="G27" s="1" t="s">
        <v>47</v>
      </c>
      <c r="H27" s="1" t="s">
        <v>55</v>
      </c>
      <c r="I27" s="1" t="s">
        <v>47</v>
      </c>
      <c r="J27" s="1" t="s">
        <v>47</v>
      </c>
      <c r="K27" s="1" t="s">
        <v>47</v>
      </c>
      <c r="L27" s="1" t="s">
        <v>47</v>
      </c>
      <c r="M27" s="1" t="s">
        <v>47</v>
      </c>
      <c r="N27" s="1" t="s">
        <v>47</v>
      </c>
      <c r="O27" s="1"/>
      <c r="P27" s="1"/>
      <c r="Q27" s="1"/>
      <c r="R27" s="1"/>
      <c r="S27" s="1"/>
      <c r="T27" s="1"/>
    </row>
    <row r="28" spans="1:20" x14ac:dyDescent="0.3">
      <c r="A28" s="1">
        <f t="shared" si="2"/>
        <v>25</v>
      </c>
      <c r="B28" s="1">
        <v>25011001029</v>
      </c>
      <c r="C28" s="1" t="s">
        <v>27</v>
      </c>
      <c r="D28" s="8">
        <f t="shared" si="1"/>
        <v>0.66666666666666663</v>
      </c>
      <c r="E28" s="1" cm="1">
        <f t="array" ref="E28">_xlfn.IFS(D28&gt;=90%,7.5,D28&gt;=80%,6,D28&gt;=70%,4.5,D28&gt;=60%,3,D28&lt;60%,0)</f>
        <v>3</v>
      </c>
      <c r="F28" s="1" t="s">
        <v>47</v>
      </c>
      <c r="G28" s="1" t="s">
        <v>47</v>
      </c>
      <c r="H28" s="1" t="s">
        <v>55</v>
      </c>
      <c r="I28" s="1" t="s">
        <v>47</v>
      </c>
      <c r="J28" s="1" t="s">
        <v>47</v>
      </c>
      <c r="K28" s="7" t="s">
        <v>46</v>
      </c>
      <c r="L28" s="7" t="s">
        <v>46</v>
      </c>
      <c r="M28" s="1" t="s">
        <v>47</v>
      </c>
      <c r="N28" s="7" t="s">
        <v>46</v>
      </c>
      <c r="O28" s="1"/>
      <c r="P28" s="1"/>
      <c r="Q28" s="1"/>
      <c r="R28" s="1"/>
      <c r="S28" s="1"/>
      <c r="T28" s="1"/>
    </row>
    <row r="29" spans="1:20" x14ac:dyDescent="0.3">
      <c r="A29" s="1">
        <f t="shared" si="2"/>
        <v>26</v>
      </c>
      <c r="B29" s="1">
        <v>25011001030</v>
      </c>
      <c r="C29" s="1" t="s">
        <v>28</v>
      </c>
      <c r="D29" s="8">
        <f t="shared" si="1"/>
        <v>1</v>
      </c>
      <c r="E29" s="1" cm="1">
        <f t="array" ref="E29">_xlfn.IFS(D29&gt;=90%,7.5,D29&gt;=80%,6,D29&gt;=70%,4.5,D29&gt;=60%,3,D29&lt;60%,0)</f>
        <v>7.5</v>
      </c>
      <c r="F29" s="1" t="s">
        <v>47</v>
      </c>
      <c r="G29" s="1" t="s">
        <v>47</v>
      </c>
      <c r="H29" s="1" t="s">
        <v>55</v>
      </c>
      <c r="I29" s="1" t="s">
        <v>47</v>
      </c>
      <c r="J29" s="1" t="s">
        <v>47</v>
      </c>
      <c r="K29" s="1" t="s">
        <v>47</v>
      </c>
      <c r="L29" s="1" t="s">
        <v>47</v>
      </c>
      <c r="M29" s="1" t="s">
        <v>47</v>
      </c>
      <c r="N29" s="1" t="s">
        <v>47</v>
      </c>
      <c r="O29" s="1"/>
      <c r="P29" s="1"/>
      <c r="Q29" s="1"/>
      <c r="R29" s="1"/>
      <c r="S29" s="1"/>
      <c r="T29" s="1"/>
    </row>
    <row r="30" spans="1:20" x14ac:dyDescent="0.3">
      <c r="A30" s="1">
        <f t="shared" si="2"/>
        <v>27</v>
      </c>
      <c r="B30" s="1">
        <v>25011001031</v>
      </c>
      <c r="C30" s="1" t="s">
        <v>29</v>
      </c>
      <c r="D30" s="8">
        <f t="shared" si="1"/>
        <v>1</v>
      </c>
      <c r="E30" s="1" cm="1">
        <f t="array" ref="E30">_xlfn.IFS(D30&gt;=90%,7.5,D30&gt;=80%,6,D30&gt;=70%,4.5,D30&gt;=60%,3,D30&lt;60%,0)</f>
        <v>7.5</v>
      </c>
      <c r="F30" s="1" t="s">
        <v>47</v>
      </c>
      <c r="G30" s="1" t="s">
        <v>47</v>
      </c>
      <c r="H30" s="1" t="s">
        <v>55</v>
      </c>
      <c r="I30" s="1" t="s">
        <v>47</v>
      </c>
      <c r="J30" s="1" t="s">
        <v>47</v>
      </c>
      <c r="K30" s="1" t="s">
        <v>47</v>
      </c>
      <c r="L30" s="1" t="s">
        <v>47</v>
      </c>
      <c r="M30" s="1" t="s">
        <v>47</v>
      </c>
      <c r="N30" s="1" t="s">
        <v>47</v>
      </c>
      <c r="O30" s="1"/>
      <c r="P30" s="1"/>
      <c r="Q30" s="1"/>
      <c r="R30" s="1"/>
      <c r="S30" s="1"/>
      <c r="T30" s="1"/>
    </row>
    <row r="31" spans="1:20" x14ac:dyDescent="0.3">
      <c r="A31" s="16">
        <f t="shared" si="2"/>
        <v>28</v>
      </c>
      <c r="B31" s="1">
        <v>25011001032</v>
      </c>
      <c r="C31" s="1" t="s">
        <v>30</v>
      </c>
      <c r="D31" s="8">
        <f t="shared" si="1"/>
        <v>0.66666666666666663</v>
      </c>
      <c r="E31" s="1" cm="1">
        <f t="array" ref="E31">_xlfn.IFS(D31&gt;=90%,7.5,D31&gt;=80%,6,D31&gt;=70%,4.5,D31&gt;=60%,3,D31&lt;60%,0)</f>
        <v>3</v>
      </c>
      <c r="F31" s="1" t="s">
        <v>47</v>
      </c>
      <c r="G31" s="7" t="s">
        <v>46</v>
      </c>
      <c r="H31" s="7" t="s">
        <v>46</v>
      </c>
      <c r="I31" s="1" t="s">
        <v>47</v>
      </c>
      <c r="J31" s="1" t="s">
        <v>47</v>
      </c>
      <c r="K31" s="7" t="s">
        <v>46</v>
      </c>
      <c r="L31" s="1" t="s">
        <v>47</v>
      </c>
      <c r="M31" s="1" t="s">
        <v>47</v>
      </c>
      <c r="N31" s="1" t="s">
        <v>47</v>
      </c>
      <c r="O31" s="1"/>
      <c r="P31" s="1"/>
      <c r="Q31" s="1"/>
      <c r="R31" s="1"/>
      <c r="S31" s="1"/>
      <c r="T31" s="1"/>
    </row>
    <row r="32" spans="1:20" x14ac:dyDescent="0.3">
      <c r="A32" s="1">
        <f t="shared" si="2"/>
        <v>29</v>
      </c>
      <c r="B32" s="1">
        <v>25011001033</v>
      </c>
      <c r="C32" s="1" t="s">
        <v>31</v>
      </c>
      <c r="D32" s="8">
        <f t="shared" si="1"/>
        <v>0.66666666666666663</v>
      </c>
      <c r="E32" s="1" cm="1">
        <f t="array" ref="E32">_xlfn.IFS(D32&gt;=90%,7.5,D32&gt;=80%,6,D32&gt;=70%,4.5,D32&gt;=60%,3,D32&lt;60%,0)</f>
        <v>3</v>
      </c>
      <c r="F32" s="1" t="s">
        <v>47</v>
      </c>
      <c r="G32" s="1" t="s">
        <v>47</v>
      </c>
      <c r="H32" s="7" t="s">
        <v>46</v>
      </c>
      <c r="I32" s="1" t="s">
        <v>47</v>
      </c>
      <c r="J32" s="1" t="s">
        <v>47</v>
      </c>
      <c r="K32" s="7" t="s">
        <v>46</v>
      </c>
      <c r="L32" s="7" t="s">
        <v>46</v>
      </c>
      <c r="M32" s="1" t="s">
        <v>47</v>
      </c>
      <c r="N32" s="1" t="s">
        <v>47</v>
      </c>
      <c r="O32" s="1"/>
      <c r="P32" s="1"/>
      <c r="Q32" s="1"/>
      <c r="R32" s="1"/>
      <c r="S32" s="1"/>
      <c r="T32" s="1"/>
    </row>
    <row r="33" spans="1:20" x14ac:dyDescent="0.3">
      <c r="A33" s="1">
        <f t="shared" si="2"/>
        <v>30</v>
      </c>
      <c r="B33" s="1">
        <v>25011001034</v>
      </c>
      <c r="C33" s="1" t="s">
        <v>32</v>
      </c>
      <c r="D33" s="8">
        <f t="shared" si="1"/>
        <v>1</v>
      </c>
      <c r="E33" s="1" cm="1">
        <f t="array" ref="E33">_xlfn.IFS(D33&gt;=90%,7.5,D33&gt;=80%,6,D33&gt;=70%,4.5,D33&gt;=60%,3,D33&lt;60%,0)</f>
        <v>7.5</v>
      </c>
      <c r="F33" s="1" t="s">
        <v>47</v>
      </c>
      <c r="G33" s="1" t="s">
        <v>47</v>
      </c>
      <c r="H33" s="1" t="s">
        <v>47</v>
      </c>
      <c r="I33" s="1" t="s">
        <v>47</v>
      </c>
      <c r="J33" s="1" t="s">
        <v>47</v>
      </c>
      <c r="K33" s="1" t="s">
        <v>47</v>
      </c>
      <c r="L33" s="1" t="s">
        <v>47</v>
      </c>
      <c r="M33" s="1" t="s">
        <v>47</v>
      </c>
      <c r="N33" s="1" t="s">
        <v>47</v>
      </c>
      <c r="O33" s="1"/>
      <c r="P33" s="1"/>
      <c r="Q33" s="1"/>
      <c r="R33" s="1"/>
      <c r="S33" s="1"/>
      <c r="T33" s="1"/>
    </row>
    <row r="34" spans="1:20" x14ac:dyDescent="0.3">
      <c r="A34" s="1">
        <f t="shared" si="2"/>
        <v>31</v>
      </c>
      <c r="B34" s="1">
        <v>25011001036</v>
      </c>
      <c r="C34" s="1" t="s">
        <v>33</v>
      </c>
      <c r="D34" s="8">
        <f t="shared" si="1"/>
        <v>1</v>
      </c>
      <c r="E34" s="1" cm="1">
        <f t="array" ref="E34">_xlfn.IFS(D34&gt;=90%,7.5,D34&gt;=80%,6,D34&gt;=70%,4.5,D34&gt;=60%,3,D34&lt;60%,0)</f>
        <v>7.5</v>
      </c>
      <c r="F34" s="1" t="s">
        <v>47</v>
      </c>
      <c r="G34" s="1" t="s">
        <v>47</v>
      </c>
      <c r="H34" s="1" t="s">
        <v>47</v>
      </c>
      <c r="I34" s="1" t="s">
        <v>47</v>
      </c>
      <c r="J34" s="1" t="s">
        <v>47</v>
      </c>
      <c r="K34" s="1" t="s">
        <v>47</v>
      </c>
      <c r="L34" s="1" t="s">
        <v>47</v>
      </c>
      <c r="M34" s="1" t="s">
        <v>47</v>
      </c>
      <c r="N34" s="1" t="s">
        <v>47</v>
      </c>
      <c r="O34" s="1"/>
      <c r="P34" s="1"/>
      <c r="Q34" s="1"/>
      <c r="R34" s="1"/>
      <c r="S34" s="1"/>
      <c r="T34" s="1"/>
    </row>
    <row r="35" spans="1:20" x14ac:dyDescent="0.3">
      <c r="A35" s="1">
        <f t="shared" si="2"/>
        <v>32</v>
      </c>
      <c r="B35" s="1">
        <v>25011001037</v>
      </c>
      <c r="C35" s="1" t="s">
        <v>34</v>
      </c>
      <c r="D35" s="8">
        <f t="shared" si="1"/>
        <v>0.66666666666666663</v>
      </c>
      <c r="E35" s="1" cm="1">
        <f t="array" ref="E35">_xlfn.IFS(D35&gt;=90%,7.5,D35&gt;=80%,6,D35&gt;=70%,4.5,D35&gt;=60%,3,D35&lt;60%,0)</f>
        <v>3</v>
      </c>
      <c r="F35" s="1" t="s">
        <v>47</v>
      </c>
      <c r="G35" s="7" t="s">
        <v>46</v>
      </c>
      <c r="H35" s="1" t="s">
        <v>47</v>
      </c>
      <c r="I35" s="1" t="s">
        <v>47</v>
      </c>
      <c r="J35" s="1" t="s">
        <v>47</v>
      </c>
      <c r="K35" s="7" t="s">
        <v>46</v>
      </c>
      <c r="L35" s="1" t="s">
        <v>47</v>
      </c>
      <c r="M35" s="1" t="s">
        <v>47</v>
      </c>
      <c r="N35" s="7" t="s">
        <v>46</v>
      </c>
      <c r="O35" s="1"/>
      <c r="P35" s="1"/>
      <c r="Q35" s="1"/>
      <c r="R35" s="1"/>
      <c r="S35" s="1"/>
      <c r="T35" s="1"/>
    </row>
    <row r="36" spans="1:20" x14ac:dyDescent="0.3">
      <c r="A36" s="11">
        <f t="shared" si="2"/>
        <v>33</v>
      </c>
      <c r="B36" s="11">
        <v>25011001038</v>
      </c>
      <c r="C36" s="1" t="s">
        <v>35</v>
      </c>
      <c r="D36" s="8">
        <f t="shared" si="1"/>
        <v>0.88888888888888884</v>
      </c>
      <c r="E36" s="1" cm="1">
        <f t="array" ref="E36">_xlfn.IFS(D36&gt;=90%,7.5,D36&gt;=80%,6,D36&gt;=70%,4.5,D36&gt;=60%,3,D36&lt;60%,0)</f>
        <v>6</v>
      </c>
      <c r="F36" s="1" t="s">
        <v>47</v>
      </c>
      <c r="G36" s="1" t="s">
        <v>47</v>
      </c>
      <c r="H36" s="1" t="s">
        <v>47</v>
      </c>
      <c r="I36" s="1" t="s">
        <v>47</v>
      </c>
      <c r="J36" s="1" t="s">
        <v>47</v>
      </c>
      <c r="K36" s="7" t="s">
        <v>46</v>
      </c>
      <c r="L36" s="1" t="s">
        <v>47</v>
      </c>
      <c r="M36" s="1" t="s">
        <v>47</v>
      </c>
      <c r="N36" s="1" t="s">
        <v>47</v>
      </c>
      <c r="O36" s="1"/>
      <c r="P36" s="1"/>
      <c r="Q36" s="1"/>
      <c r="R36" s="1"/>
      <c r="S36" s="1"/>
      <c r="T36" s="1"/>
    </row>
    <row r="37" spans="1:20" x14ac:dyDescent="0.3">
      <c r="A37" s="1">
        <f t="shared" si="2"/>
        <v>34</v>
      </c>
      <c r="B37" s="1">
        <v>25011001039</v>
      </c>
      <c r="C37" s="1" t="s">
        <v>36</v>
      </c>
      <c r="D37" s="8">
        <f t="shared" si="1"/>
        <v>1</v>
      </c>
      <c r="E37" s="1" cm="1">
        <f t="array" ref="E37">_xlfn.IFS(D37&gt;=90%,7.5,D37&gt;=80%,6,D37&gt;=70%,4.5,D37&gt;=60%,3,D37&lt;60%,0)</f>
        <v>7.5</v>
      </c>
      <c r="F37" s="1" t="s">
        <v>47</v>
      </c>
      <c r="G37" s="1" t="s">
        <v>47</v>
      </c>
      <c r="H37" s="1" t="s">
        <v>47</v>
      </c>
      <c r="I37" s="1" t="s">
        <v>47</v>
      </c>
      <c r="J37" s="1" t="s">
        <v>47</v>
      </c>
      <c r="K37" s="1" t="s">
        <v>47</v>
      </c>
      <c r="L37" s="1" t="s">
        <v>47</v>
      </c>
      <c r="M37" s="1" t="s">
        <v>47</v>
      </c>
      <c r="N37" s="1" t="s">
        <v>47</v>
      </c>
      <c r="O37" s="1"/>
      <c r="P37" s="1"/>
      <c r="Q37" s="1"/>
      <c r="R37" s="1"/>
      <c r="S37" s="1"/>
      <c r="T37" s="1"/>
    </row>
    <row r="38" spans="1:20" x14ac:dyDescent="0.3">
      <c r="A38" s="1">
        <f t="shared" si="2"/>
        <v>35</v>
      </c>
      <c r="B38" s="1">
        <v>25011001040</v>
      </c>
      <c r="C38" s="1" t="s">
        <v>37</v>
      </c>
      <c r="D38" s="8">
        <f t="shared" si="1"/>
        <v>0.77777777777777779</v>
      </c>
      <c r="E38" s="1" cm="1">
        <f t="array" ref="E38">_xlfn.IFS(D38&gt;=90%,7.5,D38&gt;=80%,6,D38&gt;=70%,4.5,D38&gt;=60%,3,D38&lt;60%,0)</f>
        <v>4.5</v>
      </c>
      <c r="F38" s="1" t="s">
        <v>47</v>
      </c>
      <c r="G38" s="1" t="s">
        <v>47</v>
      </c>
      <c r="H38" s="1" t="s">
        <v>47</v>
      </c>
      <c r="I38" s="1" t="s">
        <v>47</v>
      </c>
      <c r="J38" s="1" t="s">
        <v>47</v>
      </c>
      <c r="K38" s="7" t="s">
        <v>46</v>
      </c>
      <c r="L38" s="7" t="s">
        <v>46</v>
      </c>
      <c r="M38" s="1" t="s">
        <v>47</v>
      </c>
      <c r="N38" s="1" t="s">
        <v>47</v>
      </c>
      <c r="O38" s="1"/>
      <c r="P38" s="1"/>
      <c r="Q38" s="1"/>
      <c r="R38" s="1"/>
      <c r="S38" s="1"/>
      <c r="T38" s="1"/>
    </row>
    <row r="39" spans="1:20" x14ac:dyDescent="0.3">
      <c r="A39" s="1">
        <f t="shared" si="2"/>
        <v>36</v>
      </c>
      <c r="B39" s="1">
        <v>24011001007</v>
      </c>
      <c r="C39" s="1" t="s">
        <v>50</v>
      </c>
      <c r="D39" s="8">
        <f t="shared" si="1"/>
        <v>0.33333333333333331</v>
      </c>
      <c r="E39" s="1" cm="1">
        <f t="array" ref="E39">_xlfn.IFS(D39&gt;=90%,7.5,D39&gt;=80%,6,D39&gt;=70%,4.5,D39&gt;=60%,3,D39&lt;60%,0)</f>
        <v>0</v>
      </c>
      <c r="F39" s="7" t="s">
        <v>46</v>
      </c>
      <c r="G39" s="1" t="s">
        <v>47</v>
      </c>
      <c r="H39" s="7" t="s">
        <v>46</v>
      </c>
      <c r="I39" s="7" t="s">
        <v>46</v>
      </c>
      <c r="J39" s="7" t="s">
        <v>46</v>
      </c>
      <c r="K39" s="1" t="s">
        <v>47</v>
      </c>
      <c r="L39" s="7" t="s">
        <v>46</v>
      </c>
      <c r="M39" s="7" t="s">
        <v>46</v>
      </c>
      <c r="N39" s="1" t="s">
        <v>47</v>
      </c>
      <c r="O39" s="1"/>
      <c r="P39" s="1"/>
      <c r="Q39" s="1"/>
      <c r="R39" s="1"/>
      <c r="S39" s="1"/>
      <c r="T39" s="1"/>
    </row>
    <row r="40" spans="1:20" x14ac:dyDescent="0.3">
      <c r="A40" s="1">
        <f t="shared" si="2"/>
        <v>37</v>
      </c>
      <c r="B40" s="1">
        <v>24011001026</v>
      </c>
      <c r="C40" s="1" t="s">
        <v>38</v>
      </c>
      <c r="D40" s="8">
        <f t="shared" si="1"/>
        <v>0.55555555555555558</v>
      </c>
      <c r="E40" s="1" cm="1">
        <f t="array" ref="E40">_xlfn.IFS(D40&gt;=90%,7.5,D40&gt;=80%,6,D40&gt;=70%,4.5,D40&gt;=60%,3,D40&lt;60%,0)</f>
        <v>0</v>
      </c>
      <c r="F40" s="1" t="s">
        <v>47</v>
      </c>
      <c r="G40" s="7" t="s">
        <v>46</v>
      </c>
      <c r="H40" s="7" t="s">
        <v>46</v>
      </c>
      <c r="I40" s="1" t="s">
        <v>47</v>
      </c>
      <c r="J40" s="1" t="s">
        <v>47</v>
      </c>
      <c r="K40" s="1" t="s">
        <v>47</v>
      </c>
      <c r="L40" s="7" t="s">
        <v>46</v>
      </c>
      <c r="M40" s="7" t="s">
        <v>46</v>
      </c>
      <c r="N40" s="1" t="s">
        <v>47</v>
      </c>
      <c r="O40" s="1"/>
      <c r="P40" s="1"/>
      <c r="Q40" s="1"/>
      <c r="R40" s="1"/>
      <c r="S40" s="1"/>
      <c r="T40" s="1"/>
    </row>
    <row r="41" spans="1:20" x14ac:dyDescent="0.3">
      <c r="A41" s="1">
        <f t="shared" si="2"/>
        <v>38</v>
      </c>
      <c r="B41" s="1">
        <v>24011001034</v>
      </c>
      <c r="C41" s="1" t="s">
        <v>39</v>
      </c>
      <c r="D41" s="8">
        <f t="shared" si="1"/>
        <v>0.22222222222222221</v>
      </c>
      <c r="E41" s="1" cm="1">
        <f t="array" ref="E41">_xlfn.IFS(D41&gt;=90%,7.5,D41&gt;=80%,6,D41&gt;=70%,4.5,D41&gt;=60%,3,D41&lt;60%,0)</f>
        <v>0</v>
      </c>
      <c r="F41" s="7" t="s">
        <v>46</v>
      </c>
      <c r="G41" s="1" t="s">
        <v>47</v>
      </c>
      <c r="H41" s="7" t="s">
        <v>46</v>
      </c>
      <c r="I41" s="7" t="s">
        <v>46</v>
      </c>
      <c r="J41" s="7" t="s">
        <v>46</v>
      </c>
      <c r="K41" s="7" t="s">
        <v>46</v>
      </c>
      <c r="L41" s="7" t="s">
        <v>46</v>
      </c>
      <c r="M41" s="7" t="s">
        <v>46</v>
      </c>
      <c r="N41" s="1" t="s">
        <v>47</v>
      </c>
      <c r="O41" s="1"/>
      <c r="P41" s="1"/>
      <c r="Q41" s="1"/>
      <c r="R41" s="1"/>
      <c r="S41" s="1"/>
      <c r="T41" s="1"/>
    </row>
    <row r="42" spans="1:20" x14ac:dyDescent="0.3">
      <c r="A42" s="1">
        <f t="shared" si="2"/>
        <v>39</v>
      </c>
      <c r="B42" s="1">
        <v>23011001003</v>
      </c>
      <c r="C42" s="1" t="s">
        <v>40</v>
      </c>
      <c r="D42" s="8">
        <f t="shared" si="1"/>
        <v>0.33333333333333331</v>
      </c>
      <c r="E42" s="1" cm="1">
        <f t="array" ref="E42">_xlfn.IFS(D42&gt;=90%,7.5,D42&gt;=80%,6,D42&gt;=70%,4.5,D42&gt;=60%,3,D42&lt;60%,0)</f>
        <v>0</v>
      </c>
      <c r="F42" s="7" t="s">
        <v>46</v>
      </c>
      <c r="G42" s="7" t="s">
        <v>46</v>
      </c>
      <c r="H42" s="7" t="s">
        <v>46</v>
      </c>
      <c r="I42" s="1" t="s">
        <v>47</v>
      </c>
      <c r="J42" s="1" t="s">
        <v>47</v>
      </c>
      <c r="K42" s="7" t="s">
        <v>46</v>
      </c>
      <c r="L42" s="7" t="s">
        <v>46</v>
      </c>
      <c r="M42" s="7" t="s">
        <v>46</v>
      </c>
      <c r="N42" s="1" t="s">
        <v>47</v>
      </c>
      <c r="O42" s="1"/>
      <c r="P42" s="1"/>
      <c r="Q42" s="1"/>
      <c r="R42" s="1"/>
      <c r="S42" s="1"/>
      <c r="T42" s="1"/>
    </row>
    <row r="43" spans="1:20" x14ac:dyDescent="0.3">
      <c r="A43" s="1">
        <f t="shared" si="2"/>
        <v>40</v>
      </c>
      <c r="B43" s="1">
        <v>23011001016</v>
      </c>
      <c r="C43" s="1" t="s">
        <v>41</v>
      </c>
      <c r="D43" s="8">
        <f t="shared" si="1"/>
        <v>0.44444444444444442</v>
      </c>
      <c r="E43" s="1" cm="1">
        <f t="array" ref="E43">_xlfn.IFS(D43&gt;=90%,7.5,D43&gt;=80%,6,D43&gt;=70%,4.5,D43&gt;=60%,3,D43&lt;60%,0)</f>
        <v>0</v>
      </c>
      <c r="F43" s="1" t="s">
        <v>47</v>
      </c>
      <c r="G43" s="1" t="s">
        <v>47</v>
      </c>
      <c r="H43" s="7" t="s">
        <v>46</v>
      </c>
      <c r="I43" s="1" t="s">
        <v>47</v>
      </c>
      <c r="J43" s="7" t="s">
        <v>46</v>
      </c>
      <c r="K43" s="7" t="s">
        <v>46</v>
      </c>
      <c r="L43" s="7" t="s">
        <v>46</v>
      </c>
      <c r="M43" s="7" t="s">
        <v>46</v>
      </c>
      <c r="N43" s="1" t="s">
        <v>47</v>
      </c>
      <c r="O43" s="1"/>
      <c r="P43" s="1"/>
      <c r="Q43" s="1"/>
      <c r="R43" s="1"/>
      <c r="S43" s="1"/>
      <c r="T43" s="1"/>
    </row>
    <row r="44" spans="1:20" x14ac:dyDescent="0.3">
      <c r="A44" s="1">
        <f t="shared" si="2"/>
        <v>41</v>
      </c>
      <c r="B44" s="1">
        <v>23011001023</v>
      </c>
      <c r="C44" s="1" t="s">
        <v>42</v>
      </c>
      <c r="D44" s="8">
        <f t="shared" si="1"/>
        <v>0.55555555555555558</v>
      </c>
      <c r="E44" s="1" cm="1">
        <f t="array" ref="E44">_xlfn.IFS(D44&gt;=90%,7.5,D44&gt;=80%,6,D44&gt;=70%,4.5,D44&gt;=60%,3,D44&lt;60%,0)</f>
        <v>0</v>
      </c>
      <c r="F44" s="1" t="s">
        <v>47</v>
      </c>
      <c r="G44" s="1" t="s">
        <v>47</v>
      </c>
      <c r="H44" s="7" t="s">
        <v>46</v>
      </c>
      <c r="I44" s="1" t="s">
        <v>47</v>
      </c>
      <c r="J44" s="1" t="s">
        <v>47</v>
      </c>
      <c r="K44" s="1" t="s">
        <v>47</v>
      </c>
      <c r="L44" s="7" t="s">
        <v>46</v>
      </c>
      <c r="M44" s="7" t="s">
        <v>46</v>
      </c>
      <c r="N44" s="7" t="s">
        <v>46</v>
      </c>
      <c r="O44" s="1"/>
      <c r="P44" s="1"/>
      <c r="Q44" s="1"/>
      <c r="R44" s="1"/>
      <c r="S44" s="1"/>
      <c r="T44" s="1"/>
    </row>
  </sheetData>
  <mergeCells count="1">
    <mergeCell ref="A1:B1"/>
  </mergeCells>
  <conditionalFormatting sqref="D4:D44">
    <cfRule type="cellIs" dxfId="7" priority="1" operator="lessThan">
      <formula>0.6</formula>
    </cfRule>
    <cfRule type="cellIs" dxfId="6" priority="2" operator="between">
      <formula>0.6</formula>
      <formula>0.79</formula>
    </cfRule>
    <cfRule type="cellIs" dxfId="5" priority="3" operator="greaterThan">
      <formula>0.79</formula>
    </cfRule>
    <cfRule type="cellIs" dxfId="4" priority="4" operator="greaterThan">
      <formula>0.9</formula>
    </cfRule>
    <cfRule type="cellIs" dxfId="3" priority="5" operator="between">
      <formula>0.6</formula>
      <formula>0.89</formula>
    </cfRule>
  </conditionalFormatting>
  <conditionalFormatting sqref="E4:E44">
    <cfRule type="cellIs" dxfId="2" priority="6" operator="lessThan">
      <formula>3</formula>
    </cfRule>
    <cfRule type="cellIs" dxfId="1" priority="7" operator="between">
      <formula>2</formula>
      <formula>5.5</formula>
    </cfRule>
    <cfRule type="cellIs" dxfId="0" priority="8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6F8F3-1BFE-4AF0-A2BB-D8B7450A48F3}">
  <sheetPr>
    <pageSetUpPr fitToPage="1"/>
  </sheetPr>
  <dimension ref="A1:I44"/>
  <sheetViews>
    <sheetView tabSelected="1" zoomScale="104" workbookViewId="0">
      <pane xSplit="3" ySplit="3" topLeftCell="D34" activePane="bottomRight" state="frozen"/>
      <selection pane="topRight" activeCell="E1" sqref="E1"/>
      <selection pane="bottomLeft" activeCell="A4" sqref="A4"/>
      <selection pane="bottomRight" activeCell="H47" sqref="H47"/>
    </sheetView>
  </sheetViews>
  <sheetFormatPr defaultRowHeight="19.2" x14ac:dyDescent="0.3"/>
  <cols>
    <col min="1" max="1" width="6.21875" style="2" bestFit="1" customWidth="1"/>
    <col min="2" max="2" width="14" style="2" bestFit="1" customWidth="1"/>
    <col min="3" max="3" width="49.21875" style="2" bestFit="1" customWidth="1"/>
    <col min="4" max="4" width="22.109375" style="2" customWidth="1"/>
    <col min="5" max="5" width="21.44140625" style="2" customWidth="1"/>
    <col min="6" max="6" width="8.6640625" style="2" customWidth="1"/>
    <col min="7" max="7" width="11" style="2" customWidth="1"/>
    <col min="8" max="8" width="39.21875" style="2" bestFit="1" customWidth="1"/>
    <col min="9" max="9" width="34.33203125" style="2" bestFit="1" customWidth="1"/>
    <col min="10" max="16384" width="8.88671875" style="2"/>
  </cols>
  <sheetData>
    <row r="1" spans="1:9" x14ac:dyDescent="0.3">
      <c r="A1" s="26" t="s">
        <v>45</v>
      </c>
      <c r="B1" s="26"/>
      <c r="C1" s="4" t="s">
        <v>43</v>
      </c>
      <c r="D1" s="12" t="s">
        <v>51</v>
      </c>
      <c r="E1" s="12" t="s">
        <v>52</v>
      </c>
      <c r="F1" s="27" t="s">
        <v>53</v>
      </c>
      <c r="G1" s="27"/>
      <c r="H1" s="28" t="s">
        <v>56</v>
      </c>
      <c r="I1" s="29" t="s">
        <v>57</v>
      </c>
    </row>
    <row r="2" spans="1:9" x14ac:dyDescent="0.3">
      <c r="A2" s="4" t="s">
        <v>44</v>
      </c>
      <c r="B2" s="4">
        <f>COUNT(A4:A44)</f>
        <v>41</v>
      </c>
      <c r="C2" s="4" t="s">
        <v>64</v>
      </c>
      <c r="D2" s="12" t="s">
        <v>54</v>
      </c>
      <c r="E2" s="12" t="s">
        <v>72</v>
      </c>
      <c r="F2" s="27"/>
      <c r="G2" s="27"/>
      <c r="H2" s="28"/>
      <c r="I2" s="30"/>
    </row>
    <row r="3" spans="1:9" s="10" customFormat="1" x14ac:dyDescent="0.3">
      <c r="A3" s="3" t="s">
        <v>0</v>
      </c>
      <c r="B3" s="3" t="s">
        <v>1</v>
      </c>
      <c r="C3" s="3" t="s">
        <v>2</v>
      </c>
      <c r="D3" s="15">
        <v>7.5</v>
      </c>
      <c r="E3" s="15">
        <v>7.5</v>
      </c>
      <c r="F3" s="13">
        <f t="shared" ref="F3:F44" si="0">SUM(D3:E3)</f>
        <v>15</v>
      </c>
      <c r="G3" s="13">
        <v>7.5</v>
      </c>
      <c r="H3" s="28"/>
      <c r="I3" s="31"/>
    </row>
    <row r="4" spans="1:9" x14ac:dyDescent="0.3">
      <c r="A4" s="1">
        <v>1</v>
      </c>
      <c r="B4" s="1">
        <v>25011001001</v>
      </c>
      <c r="C4" s="1" t="s">
        <v>3</v>
      </c>
      <c r="D4" s="14">
        <v>5.5</v>
      </c>
      <c r="E4" s="14"/>
      <c r="F4" s="14">
        <f t="shared" si="0"/>
        <v>5.5</v>
      </c>
      <c r="G4" s="17">
        <f>F4/2</f>
        <v>2.75</v>
      </c>
      <c r="H4" s="25" t="s">
        <v>62</v>
      </c>
      <c r="I4" s="1"/>
    </row>
    <row r="5" spans="1:9" x14ac:dyDescent="0.3">
      <c r="A5" s="20">
        <f>A4+1</f>
        <v>2</v>
      </c>
      <c r="B5" s="20">
        <v>25011001003</v>
      </c>
      <c r="C5" s="1" t="s">
        <v>4</v>
      </c>
      <c r="D5" s="14">
        <v>7</v>
      </c>
      <c r="E5" s="14"/>
      <c r="F5" s="14">
        <f t="shared" si="0"/>
        <v>7</v>
      </c>
      <c r="G5" s="17">
        <f t="shared" ref="G5:G44" si="1">F5/2</f>
        <v>3.5</v>
      </c>
      <c r="H5" s="1"/>
      <c r="I5" s="1"/>
    </row>
    <row r="6" spans="1:9" x14ac:dyDescent="0.3">
      <c r="A6" s="1">
        <f t="shared" ref="A6:A44" si="2">A5+1</f>
        <v>3</v>
      </c>
      <c r="B6" s="1">
        <v>25011001004</v>
      </c>
      <c r="C6" s="1" t="s">
        <v>5</v>
      </c>
      <c r="D6" s="14">
        <v>6</v>
      </c>
      <c r="E6" s="14"/>
      <c r="F6" s="14">
        <f t="shared" si="0"/>
        <v>6</v>
      </c>
      <c r="G6" s="17">
        <f t="shared" si="1"/>
        <v>3</v>
      </c>
      <c r="H6" s="1"/>
      <c r="I6" s="1"/>
    </row>
    <row r="7" spans="1:9" x14ac:dyDescent="0.3">
      <c r="A7" s="1">
        <f t="shared" si="2"/>
        <v>4</v>
      </c>
      <c r="B7" s="1">
        <v>25011001005</v>
      </c>
      <c r="C7" s="1" t="s">
        <v>6</v>
      </c>
      <c r="D7" s="14">
        <v>4.5</v>
      </c>
      <c r="E7" s="14"/>
      <c r="F7" s="14">
        <f t="shared" si="0"/>
        <v>4.5</v>
      </c>
      <c r="G7" s="17">
        <f t="shared" si="1"/>
        <v>2.25</v>
      </c>
      <c r="H7" s="25" t="s">
        <v>71</v>
      </c>
      <c r="I7" s="1"/>
    </row>
    <row r="8" spans="1:9" x14ac:dyDescent="0.3">
      <c r="A8" s="1">
        <f t="shared" si="2"/>
        <v>5</v>
      </c>
      <c r="B8" s="1">
        <v>25011001006</v>
      </c>
      <c r="C8" s="1" t="s">
        <v>7</v>
      </c>
      <c r="D8" s="14">
        <v>7</v>
      </c>
      <c r="E8" s="14"/>
      <c r="F8" s="14">
        <f t="shared" si="0"/>
        <v>7</v>
      </c>
      <c r="G8" s="17">
        <f t="shared" si="1"/>
        <v>3.5</v>
      </c>
      <c r="H8" s="1"/>
      <c r="I8" s="1"/>
    </row>
    <row r="9" spans="1:9" x14ac:dyDescent="0.3">
      <c r="A9" s="1">
        <f t="shared" si="2"/>
        <v>6</v>
      </c>
      <c r="B9" s="1">
        <v>25011001007</v>
      </c>
      <c r="C9" s="1" t="s">
        <v>8</v>
      </c>
      <c r="D9" s="14">
        <v>7</v>
      </c>
      <c r="E9" s="14"/>
      <c r="F9" s="14">
        <f t="shared" si="0"/>
        <v>7</v>
      </c>
      <c r="G9" s="17">
        <f t="shared" si="1"/>
        <v>3.5</v>
      </c>
      <c r="H9" s="1"/>
      <c r="I9" s="1"/>
    </row>
    <row r="10" spans="1:9" x14ac:dyDescent="0.3">
      <c r="A10" s="1">
        <f t="shared" si="2"/>
        <v>7</v>
      </c>
      <c r="B10" s="1">
        <v>25011001008</v>
      </c>
      <c r="C10" s="1" t="s">
        <v>9</v>
      </c>
      <c r="D10" s="14">
        <v>6.5</v>
      </c>
      <c r="E10" s="14"/>
      <c r="F10" s="14">
        <f t="shared" si="0"/>
        <v>6.5</v>
      </c>
      <c r="G10" s="17">
        <f t="shared" si="1"/>
        <v>3.25</v>
      </c>
      <c r="H10" s="1"/>
      <c r="I10" s="1"/>
    </row>
    <row r="11" spans="1:9" x14ac:dyDescent="0.3">
      <c r="A11" s="1">
        <f t="shared" si="2"/>
        <v>8</v>
      </c>
      <c r="B11" s="1">
        <v>25011001009</v>
      </c>
      <c r="C11" s="1" t="s">
        <v>10</v>
      </c>
      <c r="D11" s="14">
        <v>7</v>
      </c>
      <c r="E11" s="14"/>
      <c r="F11" s="14">
        <f t="shared" si="0"/>
        <v>7</v>
      </c>
      <c r="G11" s="17">
        <f t="shared" si="1"/>
        <v>3.5</v>
      </c>
      <c r="H11" s="1"/>
      <c r="I11" s="1"/>
    </row>
    <row r="12" spans="1:9" x14ac:dyDescent="0.3">
      <c r="A12" s="1">
        <f t="shared" si="2"/>
        <v>9</v>
      </c>
      <c r="B12" s="1">
        <v>25011001011</v>
      </c>
      <c r="C12" s="1" t="s">
        <v>11</v>
      </c>
      <c r="D12" s="14">
        <v>6</v>
      </c>
      <c r="E12" s="14"/>
      <c r="F12" s="14">
        <f t="shared" si="0"/>
        <v>6</v>
      </c>
      <c r="G12" s="17">
        <f t="shared" si="1"/>
        <v>3</v>
      </c>
      <c r="H12" s="1"/>
      <c r="I12" s="1"/>
    </row>
    <row r="13" spans="1:9" x14ac:dyDescent="0.3">
      <c r="A13" s="1">
        <f t="shared" si="2"/>
        <v>10</v>
      </c>
      <c r="B13" s="1">
        <v>25011001013</v>
      </c>
      <c r="C13" s="1" t="s">
        <v>12</v>
      </c>
      <c r="D13" s="14">
        <v>6.5</v>
      </c>
      <c r="E13" s="14"/>
      <c r="F13" s="14">
        <f t="shared" si="0"/>
        <v>6.5</v>
      </c>
      <c r="G13" s="17">
        <f t="shared" si="1"/>
        <v>3.25</v>
      </c>
      <c r="H13" s="1"/>
      <c r="I13" s="1"/>
    </row>
    <row r="14" spans="1:9" x14ac:dyDescent="0.3">
      <c r="A14" s="1">
        <f t="shared" si="2"/>
        <v>11</v>
      </c>
      <c r="B14" s="1">
        <v>25011001015</v>
      </c>
      <c r="C14" s="1" t="s">
        <v>13</v>
      </c>
      <c r="D14" s="14">
        <v>6.5</v>
      </c>
      <c r="E14" s="14"/>
      <c r="F14" s="14">
        <f t="shared" si="0"/>
        <v>6.5</v>
      </c>
      <c r="G14" s="17">
        <f t="shared" si="1"/>
        <v>3.25</v>
      </c>
      <c r="H14" s="1"/>
      <c r="I14" s="1"/>
    </row>
    <row r="15" spans="1:9" x14ac:dyDescent="0.3">
      <c r="A15" s="1">
        <f t="shared" si="2"/>
        <v>12</v>
      </c>
      <c r="B15" s="1">
        <v>25011001016</v>
      </c>
      <c r="C15" s="1" t="s">
        <v>14</v>
      </c>
      <c r="D15" s="14">
        <v>4.5</v>
      </c>
      <c r="E15" s="14"/>
      <c r="F15" s="14">
        <f t="shared" si="0"/>
        <v>4.5</v>
      </c>
      <c r="G15" s="17">
        <f t="shared" si="1"/>
        <v>2.25</v>
      </c>
      <c r="H15" s="25" t="s">
        <v>71</v>
      </c>
      <c r="I15" s="1"/>
    </row>
    <row r="16" spans="1:9" x14ac:dyDescent="0.3">
      <c r="A16" s="1">
        <f t="shared" si="2"/>
        <v>13</v>
      </c>
      <c r="B16" s="1">
        <v>25011001017</v>
      </c>
      <c r="C16" s="1" t="s">
        <v>15</v>
      </c>
      <c r="D16" s="14">
        <v>7</v>
      </c>
      <c r="E16" s="14"/>
      <c r="F16" s="14">
        <f t="shared" si="0"/>
        <v>7</v>
      </c>
      <c r="G16" s="17">
        <f t="shared" si="1"/>
        <v>3.5</v>
      </c>
      <c r="H16" s="1"/>
      <c r="I16" s="1"/>
    </row>
    <row r="17" spans="1:9" x14ac:dyDescent="0.3">
      <c r="A17" s="1">
        <f t="shared" si="2"/>
        <v>14</v>
      </c>
      <c r="B17" s="1">
        <v>25011001018</v>
      </c>
      <c r="C17" s="1" t="s">
        <v>16</v>
      </c>
      <c r="D17" s="14">
        <v>6</v>
      </c>
      <c r="E17" s="14"/>
      <c r="F17" s="14">
        <f t="shared" si="0"/>
        <v>6</v>
      </c>
      <c r="G17" s="17">
        <f t="shared" si="1"/>
        <v>3</v>
      </c>
      <c r="H17" s="1"/>
      <c r="I17" s="1"/>
    </row>
    <row r="18" spans="1:9" x14ac:dyDescent="0.3">
      <c r="A18" s="1">
        <f t="shared" si="2"/>
        <v>15</v>
      </c>
      <c r="B18" s="1">
        <v>25011001019</v>
      </c>
      <c r="C18" s="1" t="s">
        <v>17</v>
      </c>
      <c r="D18" s="14">
        <v>5.5</v>
      </c>
      <c r="E18" s="14"/>
      <c r="F18" s="14">
        <f t="shared" si="0"/>
        <v>5.5</v>
      </c>
      <c r="G18" s="17">
        <f t="shared" si="1"/>
        <v>2.75</v>
      </c>
      <c r="H18" s="25" t="s">
        <v>60</v>
      </c>
      <c r="I18" s="1"/>
    </row>
    <row r="19" spans="1:9" x14ac:dyDescent="0.3">
      <c r="A19" s="1">
        <f t="shared" si="2"/>
        <v>16</v>
      </c>
      <c r="B19" s="1">
        <v>25011001020</v>
      </c>
      <c r="C19" s="1" t="s">
        <v>18</v>
      </c>
      <c r="D19" s="14">
        <v>6</v>
      </c>
      <c r="E19" s="14"/>
      <c r="F19" s="14">
        <f t="shared" si="0"/>
        <v>6</v>
      </c>
      <c r="G19" s="17">
        <f t="shared" si="1"/>
        <v>3</v>
      </c>
      <c r="H19" s="1"/>
      <c r="I19" s="1"/>
    </row>
    <row r="20" spans="1:9" x14ac:dyDescent="0.3">
      <c r="A20" s="1">
        <f t="shared" si="2"/>
        <v>17</v>
      </c>
      <c r="B20" s="1">
        <v>25011001021</v>
      </c>
      <c r="C20" s="1" t="s">
        <v>19</v>
      </c>
      <c r="D20" s="14">
        <v>6</v>
      </c>
      <c r="E20" s="14"/>
      <c r="F20" s="14">
        <f t="shared" si="0"/>
        <v>6</v>
      </c>
      <c r="G20" s="17">
        <f t="shared" si="1"/>
        <v>3</v>
      </c>
      <c r="H20" s="1"/>
      <c r="I20" s="1"/>
    </row>
    <row r="21" spans="1:9" x14ac:dyDescent="0.3">
      <c r="A21" s="1">
        <f t="shared" si="2"/>
        <v>18</v>
      </c>
      <c r="B21" s="1">
        <v>25011001022</v>
      </c>
      <c r="C21" s="1" t="s">
        <v>20</v>
      </c>
      <c r="D21" s="14">
        <v>6.5</v>
      </c>
      <c r="E21" s="14"/>
      <c r="F21" s="14">
        <f t="shared" si="0"/>
        <v>6.5</v>
      </c>
      <c r="G21" s="17">
        <f t="shared" si="1"/>
        <v>3.25</v>
      </c>
      <c r="H21" s="1"/>
      <c r="I21" s="1"/>
    </row>
    <row r="22" spans="1:9" x14ac:dyDescent="0.3">
      <c r="A22" s="1">
        <f t="shared" si="2"/>
        <v>19</v>
      </c>
      <c r="B22" s="1">
        <v>25011001023</v>
      </c>
      <c r="C22" s="1" t="s">
        <v>21</v>
      </c>
      <c r="D22" s="14">
        <v>6.5</v>
      </c>
      <c r="E22" s="14"/>
      <c r="F22" s="14">
        <f t="shared" si="0"/>
        <v>6.5</v>
      </c>
      <c r="G22" s="17">
        <f t="shared" si="1"/>
        <v>3.25</v>
      </c>
      <c r="H22" s="1"/>
      <c r="I22" s="1"/>
    </row>
    <row r="23" spans="1:9" x14ac:dyDescent="0.3">
      <c r="A23" s="1">
        <f t="shared" si="2"/>
        <v>20</v>
      </c>
      <c r="B23" s="1">
        <v>25011001024</v>
      </c>
      <c r="C23" s="1" t="s">
        <v>22</v>
      </c>
      <c r="D23" s="14">
        <v>4.5</v>
      </c>
      <c r="E23" s="14"/>
      <c r="F23" s="14">
        <f t="shared" si="0"/>
        <v>4.5</v>
      </c>
      <c r="G23" s="17">
        <f t="shared" si="1"/>
        <v>2.25</v>
      </c>
      <c r="H23" s="25" t="s">
        <v>71</v>
      </c>
      <c r="I23" s="1"/>
    </row>
    <row r="24" spans="1:9" x14ac:dyDescent="0.3">
      <c r="A24" s="1">
        <f t="shared" si="2"/>
        <v>21</v>
      </c>
      <c r="B24" s="1">
        <v>25011001025</v>
      </c>
      <c r="C24" s="1" t="s">
        <v>23</v>
      </c>
      <c r="D24" s="14">
        <v>7</v>
      </c>
      <c r="E24" s="14"/>
      <c r="F24" s="14">
        <f t="shared" si="0"/>
        <v>7</v>
      </c>
      <c r="G24" s="17">
        <f t="shared" si="1"/>
        <v>3.5</v>
      </c>
      <c r="H24" s="1"/>
      <c r="I24" s="1"/>
    </row>
    <row r="25" spans="1:9" x14ac:dyDescent="0.3">
      <c r="A25" s="1">
        <f t="shared" si="2"/>
        <v>22</v>
      </c>
      <c r="B25" s="1">
        <v>25011001026</v>
      </c>
      <c r="C25" s="1" t="s">
        <v>24</v>
      </c>
      <c r="D25" s="14">
        <v>5</v>
      </c>
      <c r="E25" s="14"/>
      <c r="F25" s="14">
        <f t="shared" si="0"/>
        <v>5</v>
      </c>
      <c r="G25" s="17">
        <f t="shared" si="1"/>
        <v>2.5</v>
      </c>
      <c r="H25" s="25" t="s">
        <v>63</v>
      </c>
      <c r="I25" s="1"/>
    </row>
    <row r="26" spans="1:9" x14ac:dyDescent="0.3">
      <c r="A26" s="1">
        <f t="shared" si="2"/>
        <v>23</v>
      </c>
      <c r="B26" s="1">
        <v>25011001027</v>
      </c>
      <c r="C26" s="1" t="s">
        <v>25</v>
      </c>
      <c r="D26" s="14">
        <v>5.5</v>
      </c>
      <c r="E26" s="14"/>
      <c r="F26" s="14">
        <f t="shared" si="0"/>
        <v>5.5</v>
      </c>
      <c r="G26" s="17">
        <f t="shared" si="1"/>
        <v>2.75</v>
      </c>
      <c r="H26" s="25" t="s">
        <v>62</v>
      </c>
      <c r="I26" s="1"/>
    </row>
    <row r="27" spans="1:9" x14ac:dyDescent="0.3">
      <c r="A27" s="1">
        <f t="shared" si="2"/>
        <v>24</v>
      </c>
      <c r="B27" s="1">
        <v>25011001028</v>
      </c>
      <c r="C27" s="1" t="s">
        <v>26</v>
      </c>
      <c r="D27" s="14">
        <v>7</v>
      </c>
      <c r="E27" s="14"/>
      <c r="F27" s="14">
        <f t="shared" si="0"/>
        <v>7</v>
      </c>
      <c r="G27" s="17">
        <f t="shared" si="1"/>
        <v>3.5</v>
      </c>
      <c r="H27" s="1"/>
      <c r="I27" s="1"/>
    </row>
    <row r="28" spans="1:9" x14ac:dyDescent="0.3">
      <c r="A28" s="1">
        <f t="shared" si="2"/>
        <v>25</v>
      </c>
      <c r="B28" s="1">
        <v>25011001029</v>
      </c>
      <c r="C28" s="1" t="s">
        <v>27</v>
      </c>
      <c r="D28" s="14">
        <v>5</v>
      </c>
      <c r="E28" s="14"/>
      <c r="F28" s="14">
        <f t="shared" si="0"/>
        <v>5</v>
      </c>
      <c r="G28" s="17">
        <f t="shared" si="1"/>
        <v>2.5</v>
      </c>
      <c r="H28" s="25" t="s">
        <v>63</v>
      </c>
      <c r="I28" s="1"/>
    </row>
    <row r="29" spans="1:9" x14ac:dyDescent="0.3">
      <c r="A29" s="1">
        <f t="shared" si="2"/>
        <v>26</v>
      </c>
      <c r="B29" s="1">
        <v>25011001030</v>
      </c>
      <c r="C29" s="1" t="s">
        <v>28</v>
      </c>
      <c r="D29" s="14">
        <v>7</v>
      </c>
      <c r="E29" s="14"/>
      <c r="F29" s="14">
        <f t="shared" si="0"/>
        <v>7</v>
      </c>
      <c r="G29" s="17">
        <f t="shared" si="1"/>
        <v>3.5</v>
      </c>
      <c r="H29" s="1"/>
      <c r="I29" s="1"/>
    </row>
    <row r="30" spans="1:9" x14ac:dyDescent="0.3">
      <c r="A30" s="1">
        <f t="shared" si="2"/>
        <v>27</v>
      </c>
      <c r="B30" s="1">
        <v>25011001031</v>
      </c>
      <c r="C30" s="1" t="s">
        <v>29</v>
      </c>
      <c r="D30" s="14">
        <v>6</v>
      </c>
      <c r="E30" s="14"/>
      <c r="F30" s="14">
        <f t="shared" si="0"/>
        <v>6</v>
      </c>
      <c r="G30" s="17">
        <f t="shared" si="1"/>
        <v>3</v>
      </c>
      <c r="H30" s="1"/>
      <c r="I30" s="1"/>
    </row>
    <row r="31" spans="1:9" x14ac:dyDescent="0.3">
      <c r="A31" s="1">
        <f t="shared" si="2"/>
        <v>28</v>
      </c>
      <c r="B31" s="1">
        <v>25011001032</v>
      </c>
      <c r="C31" s="1" t="s">
        <v>30</v>
      </c>
      <c r="D31" s="14">
        <v>4.5</v>
      </c>
      <c r="E31" s="14"/>
      <c r="F31" s="14">
        <f t="shared" si="0"/>
        <v>4.5</v>
      </c>
      <c r="G31" s="17">
        <f t="shared" si="1"/>
        <v>2.25</v>
      </c>
      <c r="H31" s="25" t="s">
        <v>59</v>
      </c>
      <c r="I31" s="1"/>
    </row>
    <row r="32" spans="1:9" x14ac:dyDescent="0.3">
      <c r="A32" s="1">
        <f t="shared" si="2"/>
        <v>29</v>
      </c>
      <c r="B32" s="1">
        <v>25011001033</v>
      </c>
      <c r="C32" s="1" t="s">
        <v>31</v>
      </c>
      <c r="D32" s="1">
        <v>5</v>
      </c>
      <c r="E32" s="1"/>
      <c r="F32" s="14">
        <f t="shared" si="0"/>
        <v>5</v>
      </c>
      <c r="G32" s="17">
        <f t="shared" si="1"/>
        <v>2.5</v>
      </c>
      <c r="H32" s="25" t="s">
        <v>63</v>
      </c>
      <c r="I32" s="1"/>
    </row>
    <row r="33" spans="1:9" x14ac:dyDescent="0.3">
      <c r="A33" s="1">
        <f t="shared" si="2"/>
        <v>30</v>
      </c>
      <c r="B33" s="1">
        <v>25011001034</v>
      </c>
      <c r="C33" s="1" t="s">
        <v>32</v>
      </c>
      <c r="D33" s="1">
        <v>6.5</v>
      </c>
      <c r="E33" s="1"/>
      <c r="F33" s="14">
        <f t="shared" si="0"/>
        <v>6.5</v>
      </c>
      <c r="G33" s="17">
        <f t="shared" si="1"/>
        <v>3.25</v>
      </c>
      <c r="H33" s="1"/>
      <c r="I33" s="1"/>
    </row>
    <row r="34" spans="1:9" x14ac:dyDescent="0.3">
      <c r="A34" s="1">
        <f t="shared" si="2"/>
        <v>31</v>
      </c>
      <c r="B34" s="1">
        <v>25011001036</v>
      </c>
      <c r="C34" s="1" t="s">
        <v>33</v>
      </c>
      <c r="D34" s="1">
        <v>6.5</v>
      </c>
      <c r="E34" s="1"/>
      <c r="F34" s="14">
        <f t="shared" si="0"/>
        <v>6.5</v>
      </c>
      <c r="G34" s="17">
        <f t="shared" si="1"/>
        <v>3.25</v>
      </c>
      <c r="H34" s="1"/>
      <c r="I34" s="1"/>
    </row>
    <row r="35" spans="1:9" x14ac:dyDescent="0.3">
      <c r="A35" s="1">
        <f t="shared" si="2"/>
        <v>32</v>
      </c>
      <c r="B35" s="1">
        <v>25011001037</v>
      </c>
      <c r="C35" s="1" t="s">
        <v>34</v>
      </c>
      <c r="D35" s="1">
        <v>5</v>
      </c>
      <c r="E35" s="1"/>
      <c r="F35" s="14">
        <f t="shared" si="0"/>
        <v>5</v>
      </c>
      <c r="G35" s="17">
        <f t="shared" si="1"/>
        <v>2.5</v>
      </c>
      <c r="H35" s="25" t="s">
        <v>63</v>
      </c>
      <c r="I35" s="1"/>
    </row>
    <row r="36" spans="1:9" x14ac:dyDescent="0.3">
      <c r="A36" s="20">
        <f t="shared" si="2"/>
        <v>33</v>
      </c>
      <c r="B36" s="20">
        <v>25011001038</v>
      </c>
      <c r="C36" s="1" t="s">
        <v>35</v>
      </c>
      <c r="D36" s="1">
        <v>6.5</v>
      </c>
      <c r="E36" s="1"/>
      <c r="F36" s="14">
        <f t="shared" si="0"/>
        <v>6.5</v>
      </c>
      <c r="G36" s="17">
        <f t="shared" si="1"/>
        <v>3.25</v>
      </c>
      <c r="H36" s="1"/>
      <c r="I36" s="1"/>
    </row>
    <row r="37" spans="1:9" x14ac:dyDescent="0.3">
      <c r="A37" s="1">
        <f t="shared" si="2"/>
        <v>34</v>
      </c>
      <c r="B37" s="1">
        <v>25011001039</v>
      </c>
      <c r="C37" s="1" t="s">
        <v>36</v>
      </c>
      <c r="D37" s="1">
        <v>6.5</v>
      </c>
      <c r="E37" s="1"/>
      <c r="F37" s="14">
        <f t="shared" si="0"/>
        <v>6.5</v>
      </c>
      <c r="G37" s="17">
        <f t="shared" si="1"/>
        <v>3.25</v>
      </c>
      <c r="H37" s="1"/>
      <c r="I37" s="1"/>
    </row>
    <row r="38" spans="1:9" x14ac:dyDescent="0.3">
      <c r="A38" s="1">
        <f t="shared" si="2"/>
        <v>35</v>
      </c>
      <c r="B38" s="1">
        <v>25011001040</v>
      </c>
      <c r="C38" s="1" t="s">
        <v>37</v>
      </c>
      <c r="D38" s="1">
        <v>6</v>
      </c>
      <c r="E38" s="1"/>
      <c r="F38" s="14">
        <f t="shared" si="0"/>
        <v>6</v>
      </c>
      <c r="G38" s="17">
        <f t="shared" si="1"/>
        <v>3</v>
      </c>
      <c r="H38" s="1"/>
      <c r="I38" s="1"/>
    </row>
    <row r="39" spans="1:9" x14ac:dyDescent="0.3">
      <c r="A39" s="1">
        <f t="shared" si="2"/>
        <v>36</v>
      </c>
      <c r="B39" s="1">
        <v>24011001007</v>
      </c>
      <c r="C39" s="1" t="s">
        <v>50</v>
      </c>
      <c r="D39" s="19"/>
      <c r="E39" s="1"/>
      <c r="F39" s="14">
        <f t="shared" si="0"/>
        <v>0</v>
      </c>
      <c r="G39" s="17">
        <f t="shared" si="1"/>
        <v>0</v>
      </c>
      <c r="H39" s="24" t="s">
        <v>61</v>
      </c>
      <c r="I39" s="1"/>
    </row>
    <row r="40" spans="1:9" x14ac:dyDescent="0.3">
      <c r="A40" s="1">
        <f t="shared" si="2"/>
        <v>37</v>
      </c>
      <c r="B40" s="1">
        <v>24011001026</v>
      </c>
      <c r="C40" s="1" t="s">
        <v>38</v>
      </c>
      <c r="D40" s="1">
        <v>5.5</v>
      </c>
      <c r="E40" s="1"/>
      <c r="F40" s="14">
        <f t="shared" si="0"/>
        <v>5.5</v>
      </c>
      <c r="G40" s="17">
        <f t="shared" si="1"/>
        <v>2.75</v>
      </c>
      <c r="H40" s="25" t="s">
        <v>62</v>
      </c>
      <c r="I40" s="1"/>
    </row>
    <row r="41" spans="1:9" x14ac:dyDescent="0.3">
      <c r="A41" s="1">
        <f t="shared" si="2"/>
        <v>38</v>
      </c>
      <c r="B41" s="1">
        <v>24011001034</v>
      </c>
      <c r="C41" s="1" t="s">
        <v>39</v>
      </c>
      <c r="D41" s="19"/>
      <c r="E41" s="1"/>
      <c r="F41" s="14">
        <f t="shared" si="0"/>
        <v>0</v>
      </c>
      <c r="G41" s="17">
        <f t="shared" si="1"/>
        <v>0</v>
      </c>
      <c r="H41" s="24" t="s">
        <v>61</v>
      </c>
      <c r="I41" s="1"/>
    </row>
    <row r="42" spans="1:9" x14ac:dyDescent="0.3">
      <c r="A42" s="1">
        <f t="shared" si="2"/>
        <v>39</v>
      </c>
      <c r="B42" s="1">
        <v>23011001003</v>
      </c>
      <c r="C42" s="1" t="s">
        <v>40</v>
      </c>
      <c r="D42" s="1">
        <v>5.5</v>
      </c>
      <c r="E42" s="1"/>
      <c r="F42" s="14">
        <f t="shared" si="0"/>
        <v>5.5</v>
      </c>
      <c r="G42" s="17">
        <f t="shared" si="1"/>
        <v>2.75</v>
      </c>
      <c r="H42" s="25" t="s">
        <v>62</v>
      </c>
      <c r="I42" s="1"/>
    </row>
    <row r="43" spans="1:9" x14ac:dyDescent="0.3">
      <c r="A43" s="1">
        <f t="shared" si="2"/>
        <v>40</v>
      </c>
      <c r="B43" s="1">
        <v>23011001016</v>
      </c>
      <c r="C43" s="1" t="s">
        <v>41</v>
      </c>
      <c r="D43" s="1">
        <v>6.5</v>
      </c>
      <c r="E43" s="1"/>
      <c r="F43" s="14">
        <f t="shared" si="0"/>
        <v>6.5</v>
      </c>
      <c r="G43" s="17">
        <f t="shared" si="1"/>
        <v>3.25</v>
      </c>
      <c r="H43" s="1"/>
      <c r="I43" s="1"/>
    </row>
    <row r="44" spans="1:9" x14ac:dyDescent="0.3">
      <c r="A44" s="1">
        <f t="shared" si="2"/>
        <v>41</v>
      </c>
      <c r="B44" s="1">
        <v>23011001023</v>
      </c>
      <c r="C44" s="1" t="s">
        <v>42</v>
      </c>
      <c r="D44" s="19"/>
      <c r="E44" s="1"/>
      <c r="F44" s="14">
        <f t="shared" si="0"/>
        <v>0</v>
      </c>
      <c r="G44" s="17">
        <f t="shared" si="1"/>
        <v>0</v>
      </c>
      <c r="H44" s="24" t="s">
        <v>61</v>
      </c>
      <c r="I44" s="1"/>
    </row>
  </sheetData>
  <mergeCells count="4">
    <mergeCell ref="A1:B1"/>
    <mergeCell ref="F1:G2"/>
    <mergeCell ref="H1:H3"/>
    <mergeCell ref="I1:I3"/>
  </mergeCells>
  <printOptions horizontalCentered="1" verticalCentered="1"/>
  <pageMargins left="0.25" right="0.25" top="0.25" bottom="0.25" header="0.3" footer="0.3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69961-D2E8-4C3C-997D-5ADAA35EF5FD}">
  <sheetPr>
    <pageSetUpPr fitToPage="1"/>
  </sheetPr>
  <dimension ref="A1:D50"/>
  <sheetViews>
    <sheetView zoomScale="104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1" sqref="D1:D1048576"/>
    </sheetView>
  </sheetViews>
  <sheetFormatPr defaultRowHeight="19.2" x14ac:dyDescent="0.3"/>
  <cols>
    <col min="1" max="1" width="6.21875" style="2" bestFit="1" customWidth="1"/>
    <col min="2" max="2" width="14" style="2" bestFit="1" customWidth="1"/>
    <col min="3" max="3" width="49.21875" style="2" bestFit="1" customWidth="1"/>
    <col min="4" max="4" width="26.33203125" style="2" customWidth="1"/>
    <col min="5" max="16384" width="8.88671875" style="2"/>
  </cols>
  <sheetData>
    <row r="1" spans="1:4" x14ac:dyDescent="0.3">
      <c r="A1" s="26" t="s">
        <v>45</v>
      </c>
      <c r="B1" s="26"/>
      <c r="C1" s="4" t="s">
        <v>43</v>
      </c>
      <c r="D1" s="12"/>
    </row>
    <row r="2" spans="1:4" x14ac:dyDescent="0.3">
      <c r="A2" s="4" t="s">
        <v>44</v>
      </c>
      <c r="B2" s="4">
        <f>COUNT(A4:A44)</f>
        <v>41</v>
      </c>
      <c r="C2" s="4" t="s">
        <v>66</v>
      </c>
      <c r="D2" s="12" t="s">
        <v>65</v>
      </c>
    </row>
    <row r="3" spans="1:4" s="10" customFormat="1" x14ac:dyDescent="0.3">
      <c r="A3" s="3" t="s">
        <v>0</v>
      </c>
      <c r="B3" s="3" t="s">
        <v>1</v>
      </c>
      <c r="C3" s="3" t="s">
        <v>2</v>
      </c>
      <c r="D3" s="15">
        <v>15</v>
      </c>
    </row>
    <row r="4" spans="1:4" x14ac:dyDescent="0.3">
      <c r="A4" s="1">
        <v>1</v>
      </c>
      <c r="B4" s="1">
        <v>25011001001</v>
      </c>
      <c r="C4" s="1" t="s">
        <v>3</v>
      </c>
      <c r="D4" s="21"/>
    </row>
    <row r="5" spans="1:4" x14ac:dyDescent="0.3">
      <c r="A5" s="20">
        <f>A4+1</f>
        <v>2</v>
      </c>
      <c r="B5" s="20">
        <v>25011001003</v>
      </c>
      <c r="C5" s="1" t="s">
        <v>4</v>
      </c>
      <c r="D5" s="21"/>
    </row>
    <row r="6" spans="1:4" x14ac:dyDescent="0.3">
      <c r="A6" s="1">
        <f t="shared" ref="A6:A44" si="0">A5+1</f>
        <v>3</v>
      </c>
      <c r="B6" s="1">
        <v>25011001004</v>
      </c>
      <c r="C6" s="1" t="s">
        <v>5</v>
      </c>
      <c r="D6" s="21"/>
    </row>
    <row r="7" spans="1:4" x14ac:dyDescent="0.3">
      <c r="A7" s="1">
        <f t="shared" si="0"/>
        <v>4</v>
      </c>
      <c r="B7" s="1">
        <v>25011001005</v>
      </c>
      <c r="C7" s="1" t="s">
        <v>6</v>
      </c>
      <c r="D7" s="21"/>
    </row>
    <row r="8" spans="1:4" x14ac:dyDescent="0.3">
      <c r="A8" s="1">
        <f t="shared" si="0"/>
        <v>5</v>
      </c>
      <c r="B8" s="1">
        <v>25011001006</v>
      </c>
      <c r="C8" s="1" t="s">
        <v>7</v>
      </c>
      <c r="D8" s="21"/>
    </row>
    <row r="9" spans="1:4" x14ac:dyDescent="0.3">
      <c r="A9" s="1">
        <f t="shared" si="0"/>
        <v>6</v>
      </c>
      <c r="B9" s="1">
        <v>25011001007</v>
      </c>
      <c r="C9" s="1" t="s">
        <v>8</v>
      </c>
      <c r="D9" s="21"/>
    </row>
    <row r="10" spans="1:4" x14ac:dyDescent="0.3">
      <c r="A10" s="1">
        <f t="shared" si="0"/>
        <v>7</v>
      </c>
      <c r="B10" s="1">
        <v>25011001008</v>
      </c>
      <c r="C10" s="1" t="s">
        <v>9</v>
      </c>
      <c r="D10" s="21"/>
    </row>
    <row r="11" spans="1:4" x14ac:dyDescent="0.3">
      <c r="A11" s="1">
        <f t="shared" si="0"/>
        <v>8</v>
      </c>
      <c r="B11" s="1">
        <v>25011001009</v>
      </c>
      <c r="C11" s="1" t="s">
        <v>10</v>
      </c>
      <c r="D11" s="21"/>
    </row>
    <row r="12" spans="1:4" x14ac:dyDescent="0.3">
      <c r="A12" s="1">
        <f t="shared" si="0"/>
        <v>9</v>
      </c>
      <c r="B12" s="1">
        <v>25011001011</v>
      </c>
      <c r="C12" s="1" t="s">
        <v>11</v>
      </c>
      <c r="D12" s="21"/>
    </row>
    <row r="13" spans="1:4" x14ac:dyDescent="0.3">
      <c r="A13" s="1">
        <f t="shared" si="0"/>
        <v>10</v>
      </c>
      <c r="B13" s="1">
        <v>25011001013</v>
      </c>
      <c r="C13" s="1" t="s">
        <v>12</v>
      </c>
      <c r="D13" s="21"/>
    </row>
    <row r="14" spans="1:4" x14ac:dyDescent="0.3">
      <c r="A14" s="1">
        <f t="shared" si="0"/>
        <v>11</v>
      </c>
      <c r="B14" s="1">
        <v>25011001015</v>
      </c>
      <c r="C14" s="1" t="s">
        <v>13</v>
      </c>
      <c r="D14" s="21"/>
    </row>
    <row r="15" spans="1:4" x14ac:dyDescent="0.3">
      <c r="A15" s="1">
        <f t="shared" si="0"/>
        <v>12</v>
      </c>
      <c r="B15" s="1">
        <v>25011001016</v>
      </c>
      <c r="C15" s="1" t="s">
        <v>14</v>
      </c>
      <c r="D15" s="21"/>
    </row>
    <row r="16" spans="1:4" x14ac:dyDescent="0.3">
      <c r="A16" s="1">
        <f t="shared" si="0"/>
        <v>13</v>
      </c>
      <c r="B16" s="1">
        <v>25011001017</v>
      </c>
      <c r="C16" s="1" t="s">
        <v>15</v>
      </c>
      <c r="D16" s="21"/>
    </row>
    <row r="17" spans="1:4" x14ac:dyDescent="0.3">
      <c r="A17" s="1">
        <f t="shared" si="0"/>
        <v>14</v>
      </c>
      <c r="B17" s="1">
        <v>25011001018</v>
      </c>
      <c r="C17" s="1" t="s">
        <v>16</v>
      </c>
      <c r="D17" s="21"/>
    </row>
    <row r="18" spans="1:4" x14ac:dyDescent="0.3">
      <c r="A18" s="1">
        <f t="shared" si="0"/>
        <v>15</v>
      </c>
      <c r="B18" s="1">
        <v>25011001019</v>
      </c>
      <c r="C18" s="1" t="s">
        <v>17</v>
      </c>
      <c r="D18" s="21"/>
    </row>
    <row r="19" spans="1:4" x14ac:dyDescent="0.3">
      <c r="A19" s="1">
        <f t="shared" si="0"/>
        <v>16</v>
      </c>
      <c r="B19" s="1">
        <v>25011001020</v>
      </c>
      <c r="C19" s="1" t="s">
        <v>18</v>
      </c>
      <c r="D19" s="21"/>
    </row>
    <row r="20" spans="1:4" x14ac:dyDescent="0.3">
      <c r="A20" s="1">
        <f t="shared" si="0"/>
        <v>17</v>
      </c>
      <c r="B20" s="1">
        <v>25011001021</v>
      </c>
      <c r="C20" s="1" t="s">
        <v>19</v>
      </c>
      <c r="D20" s="21"/>
    </row>
    <row r="21" spans="1:4" x14ac:dyDescent="0.3">
      <c r="A21" s="1">
        <f t="shared" si="0"/>
        <v>18</v>
      </c>
      <c r="B21" s="1">
        <v>25011001022</v>
      </c>
      <c r="C21" s="1" t="s">
        <v>20</v>
      </c>
      <c r="D21" s="21"/>
    </row>
    <row r="22" spans="1:4" x14ac:dyDescent="0.3">
      <c r="A22" s="1">
        <f t="shared" si="0"/>
        <v>19</v>
      </c>
      <c r="B22" s="1">
        <v>25011001023</v>
      </c>
      <c r="C22" s="1" t="s">
        <v>21</v>
      </c>
      <c r="D22" s="21"/>
    </row>
    <row r="23" spans="1:4" x14ac:dyDescent="0.3">
      <c r="A23" s="1">
        <f t="shared" si="0"/>
        <v>20</v>
      </c>
      <c r="B23" s="1">
        <v>25011001024</v>
      </c>
      <c r="C23" s="1" t="s">
        <v>22</v>
      </c>
      <c r="D23" s="21"/>
    </row>
    <row r="24" spans="1:4" x14ac:dyDescent="0.3">
      <c r="A24" s="1">
        <f t="shared" si="0"/>
        <v>21</v>
      </c>
      <c r="B24" s="1">
        <v>25011001025</v>
      </c>
      <c r="C24" s="1" t="s">
        <v>23</v>
      </c>
      <c r="D24" s="21"/>
    </row>
    <row r="25" spans="1:4" x14ac:dyDescent="0.3">
      <c r="A25" s="1">
        <f t="shared" si="0"/>
        <v>22</v>
      </c>
      <c r="B25" s="1">
        <v>25011001026</v>
      </c>
      <c r="C25" s="1" t="s">
        <v>24</v>
      </c>
      <c r="D25" s="21"/>
    </row>
    <row r="26" spans="1:4" x14ac:dyDescent="0.3">
      <c r="A26" s="1">
        <f t="shared" si="0"/>
        <v>23</v>
      </c>
      <c r="B26" s="1">
        <v>25011001027</v>
      </c>
      <c r="C26" s="1" t="s">
        <v>25</v>
      </c>
      <c r="D26" s="21"/>
    </row>
    <row r="27" spans="1:4" x14ac:dyDescent="0.3">
      <c r="A27" s="1">
        <f t="shared" si="0"/>
        <v>24</v>
      </c>
      <c r="B27" s="1">
        <v>25011001028</v>
      </c>
      <c r="C27" s="1" t="s">
        <v>26</v>
      </c>
      <c r="D27" s="21"/>
    </row>
    <row r="28" spans="1:4" x14ac:dyDescent="0.3">
      <c r="A28" s="1">
        <f t="shared" si="0"/>
        <v>25</v>
      </c>
      <c r="B28" s="1">
        <v>25011001029</v>
      </c>
      <c r="C28" s="1" t="s">
        <v>27</v>
      </c>
      <c r="D28" s="21"/>
    </row>
    <row r="29" spans="1:4" x14ac:dyDescent="0.3">
      <c r="A29" s="1">
        <f t="shared" si="0"/>
        <v>26</v>
      </c>
      <c r="B29" s="1">
        <v>25011001030</v>
      </c>
      <c r="C29" s="1" t="s">
        <v>28</v>
      </c>
      <c r="D29" s="21"/>
    </row>
    <row r="30" spans="1:4" x14ac:dyDescent="0.3">
      <c r="A30" s="1">
        <f t="shared" si="0"/>
        <v>27</v>
      </c>
      <c r="B30" s="1">
        <v>25011001031</v>
      </c>
      <c r="C30" s="1" t="s">
        <v>29</v>
      </c>
      <c r="D30" s="21"/>
    </row>
    <row r="31" spans="1:4" x14ac:dyDescent="0.3">
      <c r="A31" s="1">
        <f t="shared" si="0"/>
        <v>28</v>
      </c>
      <c r="B31" s="1">
        <v>25011001032</v>
      </c>
      <c r="C31" s="1" t="s">
        <v>30</v>
      </c>
      <c r="D31" s="21"/>
    </row>
    <row r="32" spans="1:4" x14ac:dyDescent="0.3">
      <c r="A32" s="1">
        <f t="shared" si="0"/>
        <v>29</v>
      </c>
      <c r="B32" s="1">
        <v>25011001033</v>
      </c>
      <c r="C32" s="1" t="s">
        <v>31</v>
      </c>
      <c r="D32" s="20"/>
    </row>
    <row r="33" spans="1:4" x14ac:dyDescent="0.3">
      <c r="A33" s="1">
        <f t="shared" si="0"/>
        <v>30</v>
      </c>
      <c r="B33" s="1">
        <v>25011001034</v>
      </c>
      <c r="C33" s="1" t="s">
        <v>32</v>
      </c>
      <c r="D33" s="20"/>
    </row>
    <row r="34" spans="1:4" x14ac:dyDescent="0.3">
      <c r="A34" s="1">
        <f t="shared" si="0"/>
        <v>31</v>
      </c>
      <c r="B34" s="1">
        <v>25011001036</v>
      </c>
      <c r="C34" s="1" t="s">
        <v>33</v>
      </c>
      <c r="D34" s="20"/>
    </row>
    <row r="35" spans="1:4" x14ac:dyDescent="0.3">
      <c r="A35" s="1">
        <f t="shared" si="0"/>
        <v>32</v>
      </c>
      <c r="B35" s="1">
        <v>25011001037</v>
      </c>
      <c r="C35" s="1" t="s">
        <v>34</v>
      </c>
      <c r="D35" s="20"/>
    </row>
    <row r="36" spans="1:4" x14ac:dyDescent="0.3">
      <c r="A36" s="20">
        <f t="shared" si="0"/>
        <v>33</v>
      </c>
      <c r="B36" s="20">
        <v>25011001038</v>
      </c>
      <c r="C36" s="1" t="s">
        <v>35</v>
      </c>
      <c r="D36" s="20"/>
    </row>
    <row r="37" spans="1:4" x14ac:dyDescent="0.3">
      <c r="A37" s="1">
        <f t="shared" si="0"/>
        <v>34</v>
      </c>
      <c r="B37" s="1">
        <v>25011001039</v>
      </c>
      <c r="C37" s="1" t="s">
        <v>36</v>
      </c>
      <c r="D37" s="20"/>
    </row>
    <row r="38" spans="1:4" x14ac:dyDescent="0.3">
      <c r="A38" s="1">
        <f t="shared" si="0"/>
        <v>35</v>
      </c>
      <c r="B38" s="1">
        <v>25011001040</v>
      </c>
      <c r="C38" s="1" t="s">
        <v>37</v>
      </c>
      <c r="D38" s="20"/>
    </row>
    <row r="39" spans="1:4" x14ac:dyDescent="0.3">
      <c r="A39" s="1">
        <f t="shared" si="0"/>
        <v>36</v>
      </c>
      <c r="B39" s="1">
        <v>24011001007</v>
      </c>
      <c r="C39" s="1" t="s">
        <v>50</v>
      </c>
      <c r="D39" s="20"/>
    </row>
    <row r="40" spans="1:4" x14ac:dyDescent="0.3">
      <c r="A40" s="1">
        <f t="shared" si="0"/>
        <v>37</v>
      </c>
      <c r="B40" s="1">
        <v>24011001026</v>
      </c>
      <c r="C40" s="1" t="s">
        <v>38</v>
      </c>
      <c r="D40" s="20"/>
    </row>
    <row r="41" spans="1:4" x14ac:dyDescent="0.3">
      <c r="A41" s="1">
        <f t="shared" si="0"/>
        <v>38</v>
      </c>
      <c r="B41" s="1">
        <v>24011001034</v>
      </c>
      <c r="C41" s="1" t="s">
        <v>39</v>
      </c>
      <c r="D41" s="20"/>
    </row>
    <row r="42" spans="1:4" x14ac:dyDescent="0.3">
      <c r="A42" s="1">
        <f t="shared" si="0"/>
        <v>39</v>
      </c>
      <c r="B42" s="1">
        <v>23011001003</v>
      </c>
      <c r="C42" s="1" t="s">
        <v>40</v>
      </c>
      <c r="D42" s="20"/>
    </row>
    <row r="43" spans="1:4" x14ac:dyDescent="0.3">
      <c r="A43" s="1">
        <f t="shared" si="0"/>
        <v>40</v>
      </c>
      <c r="B43" s="1">
        <v>23011001016</v>
      </c>
      <c r="C43" s="1" t="s">
        <v>41</v>
      </c>
      <c r="D43" s="20"/>
    </row>
    <row r="44" spans="1:4" x14ac:dyDescent="0.3">
      <c r="A44" s="1">
        <f t="shared" si="0"/>
        <v>41</v>
      </c>
      <c r="B44" s="1">
        <v>23011001023</v>
      </c>
      <c r="C44" s="1" t="s">
        <v>42</v>
      </c>
      <c r="D44" s="20"/>
    </row>
    <row r="45" spans="1:4" x14ac:dyDescent="0.3">
      <c r="D45" s="22"/>
    </row>
    <row r="46" spans="1:4" x14ac:dyDescent="0.3">
      <c r="D46" s="22"/>
    </row>
    <row r="47" spans="1:4" x14ac:dyDescent="0.3">
      <c r="D47" s="22"/>
    </row>
    <row r="48" spans="1:4" x14ac:dyDescent="0.3">
      <c r="D48" s="22"/>
    </row>
    <row r="49" spans="4:4" x14ac:dyDescent="0.3">
      <c r="D49" s="22"/>
    </row>
    <row r="50" spans="4:4" x14ac:dyDescent="0.3">
      <c r="D50" s="22"/>
    </row>
  </sheetData>
  <mergeCells count="1">
    <mergeCell ref="A1:B1"/>
  </mergeCells>
  <printOptions horizontalCentered="1" verticalCentered="1"/>
  <pageMargins left="0.25" right="0.25" top="0.25" bottom="0.25" header="0.3" footer="0.3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BA74E-329D-4AC5-B37E-78AD71352384}">
  <sheetPr>
    <pageSetUpPr fitToPage="1"/>
  </sheetPr>
  <dimension ref="A1:G44"/>
  <sheetViews>
    <sheetView zoomScale="104" workbookViewId="0">
      <pane xSplit="3" ySplit="3" topLeftCell="D40" activePane="bottomRight" state="frozen"/>
      <selection pane="topRight" activeCell="E1" sqref="E1"/>
      <selection pane="bottomLeft" activeCell="A4" sqref="A4"/>
      <selection pane="bottomRight" activeCell="F48" sqref="F48"/>
    </sheetView>
  </sheetViews>
  <sheetFormatPr defaultRowHeight="19.2" x14ac:dyDescent="0.3"/>
  <cols>
    <col min="1" max="1" width="6.21875" style="2" bestFit="1" customWidth="1"/>
    <col min="2" max="2" width="14" style="2" bestFit="1" customWidth="1"/>
    <col min="3" max="3" width="49.21875" style="2" bestFit="1" customWidth="1"/>
    <col min="4" max="7" width="26.33203125" style="2" customWidth="1"/>
    <col min="8" max="16384" width="8.88671875" style="2"/>
  </cols>
  <sheetData>
    <row r="1" spans="1:7" x14ac:dyDescent="0.3">
      <c r="A1" s="26" t="s">
        <v>45</v>
      </c>
      <c r="B1" s="26"/>
      <c r="C1" s="4" t="s">
        <v>43</v>
      </c>
      <c r="D1" s="32">
        <v>7.5</v>
      </c>
      <c r="E1" s="32">
        <v>7.5</v>
      </c>
      <c r="F1" s="32">
        <v>15</v>
      </c>
      <c r="G1" s="34">
        <v>30</v>
      </c>
    </row>
    <row r="2" spans="1:7" x14ac:dyDescent="0.3">
      <c r="A2" s="4" t="s">
        <v>44</v>
      </c>
      <c r="B2" s="4">
        <f>COUNT(A4:A44)</f>
        <v>41</v>
      </c>
      <c r="C2" s="4" t="s">
        <v>67</v>
      </c>
      <c r="D2" s="33"/>
      <c r="E2" s="33"/>
      <c r="F2" s="33"/>
      <c r="G2" s="35"/>
    </row>
    <row r="3" spans="1:7" s="10" customFormat="1" x14ac:dyDescent="0.3">
      <c r="A3" s="3" t="s">
        <v>0</v>
      </c>
      <c r="B3" s="3" t="s">
        <v>1</v>
      </c>
      <c r="C3" s="3" t="s">
        <v>2</v>
      </c>
      <c r="D3" s="12" t="s">
        <v>68</v>
      </c>
      <c r="E3" s="12" t="s">
        <v>69</v>
      </c>
      <c r="F3" s="12" t="s">
        <v>70</v>
      </c>
      <c r="G3" s="12" t="s">
        <v>53</v>
      </c>
    </row>
    <row r="4" spans="1:7" x14ac:dyDescent="0.3">
      <c r="A4" s="1">
        <v>1</v>
      </c>
      <c r="B4" s="1">
        <v>25011001001</v>
      </c>
      <c r="C4" s="1" t="s">
        <v>3</v>
      </c>
      <c r="D4" s="21">
        <f>_xlfn.XLOOKUP(B4,'ESE 2-1 Attendance'!$B$4:$B$44,'ESE 2-1 Attendance'!$E$4:$E$44)</f>
        <v>6</v>
      </c>
      <c r="E4" s="21">
        <f>_xlfn.XLOOKUP(B4,Assignment!$B$4:$B$44,Assignment!$G$4:$G$44)</f>
        <v>2.75</v>
      </c>
      <c r="F4" s="21">
        <f>_xlfn.XLOOKUP(B4,'Class Test'!$B$4:$B$44,'Class Test'!$D$4:$D$44)</f>
        <v>0</v>
      </c>
      <c r="G4" s="23">
        <f>CEILING(SUM(D4:F4),0.5)</f>
        <v>9</v>
      </c>
    </row>
    <row r="5" spans="1:7" x14ac:dyDescent="0.3">
      <c r="A5" s="20">
        <f>A4+1</f>
        <v>2</v>
      </c>
      <c r="B5" s="20">
        <v>25011001003</v>
      </c>
      <c r="C5" s="1" t="s">
        <v>4</v>
      </c>
      <c r="D5" s="21">
        <f>_xlfn.XLOOKUP(B5,'ESE 2-1 Attendance'!$B$4:$B$44,'ESE 2-1 Attendance'!$E$4:$E$44)</f>
        <v>6</v>
      </c>
      <c r="E5" s="21">
        <f>_xlfn.XLOOKUP(B5,Assignment!$B$4:$B$44,Assignment!$G$4:$G$44)</f>
        <v>3.5</v>
      </c>
      <c r="F5" s="21">
        <f>_xlfn.XLOOKUP(B5,'Class Test'!$B$4:$B$44,'Class Test'!$D$4:$D$44)</f>
        <v>0</v>
      </c>
      <c r="G5" s="23">
        <f t="shared" ref="G5:G44" si="0">CEILING(SUM(D5:F5),0.5)</f>
        <v>9.5</v>
      </c>
    </row>
    <row r="6" spans="1:7" x14ac:dyDescent="0.3">
      <c r="A6" s="1">
        <f t="shared" ref="A6:A44" si="1">A5+1</f>
        <v>3</v>
      </c>
      <c r="B6" s="1">
        <v>25011001004</v>
      </c>
      <c r="C6" s="1" t="s">
        <v>5</v>
      </c>
      <c r="D6" s="21">
        <f>_xlfn.XLOOKUP(B6,'ESE 2-1 Attendance'!$B$4:$B$44,'ESE 2-1 Attendance'!$E$4:$E$44)</f>
        <v>4.5</v>
      </c>
      <c r="E6" s="21">
        <f>_xlfn.XLOOKUP(B6,Assignment!$B$4:$B$44,Assignment!$G$4:$G$44)</f>
        <v>3</v>
      </c>
      <c r="F6" s="21">
        <f>_xlfn.XLOOKUP(B6,'Class Test'!$B$4:$B$44,'Class Test'!$D$4:$D$44)</f>
        <v>0</v>
      </c>
      <c r="G6" s="23">
        <f t="shared" si="0"/>
        <v>7.5</v>
      </c>
    </row>
    <row r="7" spans="1:7" x14ac:dyDescent="0.3">
      <c r="A7" s="1">
        <f t="shared" si="1"/>
        <v>4</v>
      </c>
      <c r="B7" s="1">
        <v>25011001005</v>
      </c>
      <c r="C7" s="1" t="s">
        <v>6</v>
      </c>
      <c r="D7" s="21">
        <f>_xlfn.XLOOKUP(B7,'ESE 2-1 Attendance'!$B$4:$B$44,'ESE 2-1 Attendance'!$E$4:$E$44)</f>
        <v>7.5</v>
      </c>
      <c r="E7" s="21">
        <f>_xlfn.XLOOKUP(B7,Assignment!$B$4:$B$44,Assignment!$G$4:$G$44)</f>
        <v>2.25</v>
      </c>
      <c r="F7" s="21">
        <f>_xlfn.XLOOKUP(B7,'Class Test'!$B$4:$B$44,'Class Test'!$D$4:$D$44)</f>
        <v>0</v>
      </c>
      <c r="G7" s="23">
        <f t="shared" si="0"/>
        <v>10</v>
      </c>
    </row>
    <row r="8" spans="1:7" x14ac:dyDescent="0.3">
      <c r="A8" s="1">
        <f t="shared" si="1"/>
        <v>5</v>
      </c>
      <c r="B8" s="1">
        <v>25011001006</v>
      </c>
      <c r="C8" s="1" t="s">
        <v>7</v>
      </c>
      <c r="D8" s="21">
        <f>_xlfn.XLOOKUP(B8,'ESE 2-1 Attendance'!$B$4:$B$44,'ESE 2-1 Attendance'!$E$4:$E$44)</f>
        <v>7.5</v>
      </c>
      <c r="E8" s="21">
        <f>_xlfn.XLOOKUP(B8,Assignment!$B$4:$B$44,Assignment!$G$4:$G$44)</f>
        <v>3.5</v>
      </c>
      <c r="F8" s="21">
        <f>_xlfn.XLOOKUP(B8,'Class Test'!$B$4:$B$44,'Class Test'!$D$4:$D$44)</f>
        <v>0</v>
      </c>
      <c r="G8" s="23">
        <f t="shared" si="0"/>
        <v>11</v>
      </c>
    </row>
    <row r="9" spans="1:7" x14ac:dyDescent="0.3">
      <c r="A9" s="1">
        <f t="shared" si="1"/>
        <v>6</v>
      </c>
      <c r="B9" s="1">
        <v>25011001007</v>
      </c>
      <c r="C9" s="1" t="s">
        <v>8</v>
      </c>
      <c r="D9" s="21">
        <f>_xlfn.XLOOKUP(B9,'ESE 2-1 Attendance'!$B$4:$B$44,'ESE 2-1 Attendance'!$E$4:$E$44)</f>
        <v>4.5</v>
      </c>
      <c r="E9" s="21">
        <f>_xlfn.XLOOKUP(B9,Assignment!$B$4:$B$44,Assignment!$G$4:$G$44)</f>
        <v>3.5</v>
      </c>
      <c r="F9" s="21">
        <f>_xlfn.XLOOKUP(B9,'Class Test'!$B$4:$B$44,'Class Test'!$D$4:$D$44)</f>
        <v>0</v>
      </c>
      <c r="G9" s="23">
        <f t="shared" si="0"/>
        <v>8</v>
      </c>
    </row>
    <row r="10" spans="1:7" x14ac:dyDescent="0.3">
      <c r="A10" s="1">
        <f t="shared" si="1"/>
        <v>7</v>
      </c>
      <c r="B10" s="1">
        <v>25011001008</v>
      </c>
      <c r="C10" s="1" t="s">
        <v>9</v>
      </c>
      <c r="D10" s="21">
        <f>_xlfn.XLOOKUP(B10,'ESE 2-1 Attendance'!$B$4:$B$44,'ESE 2-1 Attendance'!$E$4:$E$44)</f>
        <v>4.5</v>
      </c>
      <c r="E10" s="21">
        <f>_xlfn.XLOOKUP(B10,Assignment!$B$4:$B$44,Assignment!$G$4:$G$44)</f>
        <v>3.25</v>
      </c>
      <c r="F10" s="21">
        <f>_xlfn.XLOOKUP(B10,'Class Test'!$B$4:$B$44,'Class Test'!$D$4:$D$44)</f>
        <v>0</v>
      </c>
      <c r="G10" s="23">
        <f t="shared" si="0"/>
        <v>8</v>
      </c>
    </row>
    <row r="11" spans="1:7" x14ac:dyDescent="0.3">
      <c r="A11" s="1">
        <f t="shared" si="1"/>
        <v>8</v>
      </c>
      <c r="B11" s="1">
        <v>25011001009</v>
      </c>
      <c r="C11" s="1" t="s">
        <v>10</v>
      </c>
      <c r="D11" s="21">
        <f>_xlfn.XLOOKUP(B11,'ESE 2-1 Attendance'!$B$4:$B$44,'ESE 2-1 Attendance'!$E$4:$E$44)</f>
        <v>6</v>
      </c>
      <c r="E11" s="21">
        <f>_xlfn.XLOOKUP(B11,Assignment!$B$4:$B$44,Assignment!$G$4:$G$44)</f>
        <v>3.5</v>
      </c>
      <c r="F11" s="21">
        <f>_xlfn.XLOOKUP(B11,'Class Test'!$B$4:$B$44,'Class Test'!$D$4:$D$44)</f>
        <v>0</v>
      </c>
      <c r="G11" s="23">
        <f t="shared" si="0"/>
        <v>9.5</v>
      </c>
    </row>
    <row r="12" spans="1:7" x14ac:dyDescent="0.3">
      <c r="A12" s="1">
        <f t="shared" si="1"/>
        <v>9</v>
      </c>
      <c r="B12" s="1">
        <v>25011001011</v>
      </c>
      <c r="C12" s="1" t="s">
        <v>11</v>
      </c>
      <c r="D12" s="21">
        <f>_xlfn.XLOOKUP(B12,'ESE 2-1 Attendance'!$B$4:$B$44,'ESE 2-1 Attendance'!$E$4:$E$44)</f>
        <v>4.5</v>
      </c>
      <c r="E12" s="21">
        <f>_xlfn.XLOOKUP(B12,Assignment!$B$4:$B$44,Assignment!$G$4:$G$44)</f>
        <v>3</v>
      </c>
      <c r="F12" s="21">
        <f>_xlfn.XLOOKUP(B12,'Class Test'!$B$4:$B$44,'Class Test'!$D$4:$D$44)</f>
        <v>0</v>
      </c>
      <c r="G12" s="23">
        <f t="shared" si="0"/>
        <v>7.5</v>
      </c>
    </row>
    <row r="13" spans="1:7" x14ac:dyDescent="0.3">
      <c r="A13" s="1">
        <f t="shared" si="1"/>
        <v>10</v>
      </c>
      <c r="B13" s="1">
        <v>25011001013</v>
      </c>
      <c r="C13" s="1" t="s">
        <v>12</v>
      </c>
      <c r="D13" s="21">
        <f>_xlfn.XLOOKUP(B13,'ESE 2-1 Attendance'!$B$4:$B$44,'ESE 2-1 Attendance'!$E$4:$E$44)</f>
        <v>7.5</v>
      </c>
      <c r="E13" s="21">
        <f>_xlfn.XLOOKUP(B13,Assignment!$B$4:$B$44,Assignment!$G$4:$G$44)</f>
        <v>3.25</v>
      </c>
      <c r="F13" s="21">
        <f>_xlfn.XLOOKUP(B13,'Class Test'!$B$4:$B$44,'Class Test'!$D$4:$D$44)</f>
        <v>0</v>
      </c>
      <c r="G13" s="23">
        <f t="shared" si="0"/>
        <v>11</v>
      </c>
    </row>
    <row r="14" spans="1:7" x14ac:dyDescent="0.3">
      <c r="A14" s="1">
        <f t="shared" si="1"/>
        <v>11</v>
      </c>
      <c r="B14" s="1">
        <v>25011001015</v>
      </c>
      <c r="C14" s="1" t="s">
        <v>13</v>
      </c>
      <c r="D14" s="21">
        <f>_xlfn.XLOOKUP(B14,'ESE 2-1 Attendance'!$B$4:$B$44,'ESE 2-1 Attendance'!$E$4:$E$44)</f>
        <v>3</v>
      </c>
      <c r="E14" s="21">
        <f>_xlfn.XLOOKUP(B14,Assignment!$B$4:$B$44,Assignment!$G$4:$G$44)</f>
        <v>3.25</v>
      </c>
      <c r="F14" s="21">
        <f>_xlfn.XLOOKUP(B14,'Class Test'!$B$4:$B$44,'Class Test'!$D$4:$D$44)</f>
        <v>0</v>
      </c>
      <c r="G14" s="23">
        <f t="shared" si="0"/>
        <v>6.5</v>
      </c>
    </row>
    <row r="15" spans="1:7" x14ac:dyDescent="0.3">
      <c r="A15" s="1">
        <f t="shared" si="1"/>
        <v>12</v>
      </c>
      <c r="B15" s="1">
        <v>25011001016</v>
      </c>
      <c r="C15" s="1" t="s">
        <v>14</v>
      </c>
      <c r="D15" s="21">
        <f>_xlfn.XLOOKUP(B15,'ESE 2-1 Attendance'!$B$4:$B$44,'ESE 2-1 Attendance'!$E$4:$E$44)</f>
        <v>7.5</v>
      </c>
      <c r="E15" s="21">
        <f>_xlfn.XLOOKUP(B15,Assignment!$B$4:$B$44,Assignment!$G$4:$G$44)</f>
        <v>2.25</v>
      </c>
      <c r="F15" s="21">
        <f>_xlfn.XLOOKUP(B15,'Class Test'!$B$4:$B$44,'Class Test'!$D$4:$D$44)</f>
        <v>0</v>
      </c>
      <c r="G15" s="23">
        <f t="shared" si="0"/>
        <v>10</v>
      </c>
    </row>
    <row r="16" spans="1:7" x14ac:dyDescent="0.3">
      <c r="A16" s="1">
        <f t="shared" si="1"/>
        <v>13</v>
      </c>
      <c r="B16" s="1">
        <v>25011001017</v>
      </c>
      <c r="C16" s="1" t="s">
        <v>15</v>
      </c>
      <c r="D16" s="21">
        <f>_xlfn.XLOOKUP(B16,'ESE 2-1 Attendance'!$B$4:$B$44,'ESE 2-1 Attendance'!$E$4:$E$44)</f>
        <v>7.5</v>
      </c>
      <c r="E16" s="21">
        <f>_xlfn.XLOOKUP(B16,Assignment!$B$4:$B$44,Assignment!$G$4:$G$44)</f>
        <v>3.5</v>
      </c>
      <c r="F16" s="21">
        <f>_xlfn.XLOOKUP(B16,'Class Test'!$B$4:$B$44,'Class Test'!$D$4:$D$44)</f>
        <v>0</v>
      </c>
      <c r="G16" s="23">
        <f t="shared" si="0"/>
        <v>11</v>
      </c>
    </row>
    <row r="17" spans="1:7" x14ac:dyDescent="0.3">
      <c r="A17" s="1">
        <f t="shared" si="1"/>
        <v>14</v>
      </c>
      <c r="B17" s="1">
        <v>25011001018</v>
      </c>
      <c r="C17" s="1" t="s">
        <v>16</v>
      </c>
      <c r="D17" s="21">
        <f>_xlfn.XLOOKUP(B17,'ESE 2-1 Attendance'!$B$4:$B$44,'ESE 2-1 Attendance'!$E$4:$E$44)</f>
        <v>0</v>
      </c>
      <c r="E17" s="21">
        <f>_xlfn.XLOOKUP(B17,Assignment!$B$4:$B$44,Assignment!$G$4:$G$44)</f>
        <v>3</v>
      </c>
      <c r="F17" s="21">
        <f>_xlfn.XLOOKUP(B17,'Class Test'!$B$4:$B$44,'Class Test'!$D$4:$D$44)</f>
        <v>0</v>
      </c>
      <c r="G17" s="23">
        <f t="shared" si="0"/>
        <v>3</v>
      </c>
    </row>
    <row r="18" spans="1:7" x14ac:dyDescent="0.3">
      <c r="A18" s="1">
        <f t="shared" si="1"/>
        <v>15</v>
      </c>
      <c r="B18" s="1">
        <v>25011001019</v>
      </c>
      <c r="C18" s="1" t="s">
        <v>17</v>
      </c>
      <c r="D18" s="21">
        <f>_xlfn.XLOOKUP(B18,'ESE 2-1 Attendance'!$B$4:$B$44,'ESE 2-1 Attendance'!$E$4:$E$44)</f>
        <v>7.5</v>
      </c>
      <c r="E18" s="21">
        <f>_xlfn.XLOOKUP(B18,Assignment!$B$4:$B$44,Assignment!$G$4:$G$44)</f>
        <v>2.75</v>
      </c>
      <c r="F18" s="21">
        <f>_xlfn.XLOOKUP(B18,'Class Test'!$B$4:$B$44,'Class Test'!$D$4:$D$44)</f>
        <v>0</v>
      </c>
      <c r="G18" s="23">
        <f t="shared" si="0"/>
        <v>10.5</v>
      </c>
    </row>
    <row r="19" spans="1:7" x14ac:dyDescent="0.3">
      <c r="A19" s="1">
        <f t="shared" si="1"/>
        <v>16</v>
      </c>
      <c r="B19" s="1">
        <v>25011001020</v>
      </c>
      <c r="C19" s="1" t="s">
        <v>18</v>
      </c>
      <c r="D19" s="21">
        <f>_xlfn.XLOOKUP(B19,'ESE 2-1 Attendance'!$B$4:$B$44,'ESE 2-1 Attendance'!$E$4:$E$44)</f>
        <v>4.5</v>
      </c>
      <c r="E19" s="21">
        <f>_xlfn.XLOOKUP(B19,Assignment!$B$4:$B$44,Assignment!$G$4:$G$44)</f>
        <v>3</v>
      </c>
      <c r="F19" s="21">
        <f>_xlfn.XLOOKUP(B19,'Class Test'!$B$4:$B$44,'Class Test'!$D$4:$D$44)</f>
        <v>0</v>
      </c>
      <c r="G19" s="23">
        <f t="shared" si="0"/>
        <v>7.5</v>
      </c>
    </row>
    <row r="20" spans="1:7" x14ac:dyDescent="0.3">
      <c r="A20" s="1">
        <f t="shared" si="1"/>
        <v>17</v>
      </c>
      <c r="B20" s="1">
        <v>25011001021</v>
      </c>
      <c r="C20" s="1" t="s">
        <v>19</v>
      </c>
      <c r="D20" s="21">
        <f>_xlfn.XLOOKUP(B20,'ESE 2-1 Attendance'!$B$4:$B$44,'ESE 2-1 Attendance'!$E$4:$E$44)</f>
        <v>6</v>
      </c>
      <c r="E20" s="21">
        <f>_xlfn.XLOOKUP(B20,Assignment!$B$4:$B$44,Assignment!$G$4:$G$44)</f>
        <v>3</v>
      </c>
      <c r="F20" s="21">
        <f>_xlfn.XLOOKUP(B20,'Class Test'!$B$4:$B$44,'Class Test'!$D$4:$D$44)</f>
        <v>0</v>
      </c>
      <c r="G20" s="23">
        <f t="shared" si="0"/>
        <v>9</v>
      </c>
    </row>
    <row r="21" spans="1:7" x14ac:dyDescent="0.3">
      <c r="A21" s="1">
        <f t="shared" si="1"/>
        <v>18</v>
      </c>
      <c r="B21" s="1">
        <v>25011001022</v>
      </c>
      <c r="C21" s="1" t="s">
        <v>20</v>
      </c>
      <c r="D21" s="21">
        <f>_xlfn.XLOOKUP(B21,'ESE 2-1 Attendance'!$B$4:$B$44,'ESE 2-1 Attendance'!$E$4:$E$44)</f>
        <v>7.5</v>
      </c>
      <c r="E21" s="21">
        <f>_xlfn.XLOOKUP(B21,Assignment!$B$4:$B$44,Assignment!$G$4:$G$44)</f>
        <v>3.25</v>
      </c>
      <c r="F21" s="21">
        <f>_xlfn.XLOOKUP(B21,'Class Test'!$B$4:$B$44,'Class Test'!$D$4:$D$44)</f>
        <v>0</v>
      </c>
      <c r="G21" s="23">
        <f t="shared" si="0"/>
        <v>11</v>
      </c>
    </row>
    <row r="22" spans="1:7" x14ac:dyDescent="0.3">
      <c r="A22" s="1">
        <f t="shared" si="1"/>
        <v>19</v>
      </c>
      <c r="B22" s="1">
        <v>25011001023</v>
      </c>
      <c r="C22" s="1" t="s">
        <v>21</v>
      </c>
      <c r="D22" s="21">
        <f>_xlfn.XLOOKUP(B22,'ESE 2-1 Attendance'!$B$4:$B$44,'ESE 2-1 Attendance'!$E$4:$E$44)</f>
        <v>7.5</v>
      </c>
      <c r="E22" s="21">
        <f>_xlfn.XLOOKUP(B22,Assignment!$B$4:$B$44,Assignment!$G$4:$G$44)</f>
        <v>3.25</v>
      </c>
      <c r="F22" s="21">
        <f>_xlfn.XLOOKUP(B22,'Class Test'!$B$4:$B$44,'Class Test'!$D$4:$D$44)</f>
        <v>0</v>
      </c>
      <c r="G22" s="23">
        <f t="shared" si="0"/>
        <v>11</v>
      </c>
    </row>
    <row r="23" spans="1:7" x14ac:dyDescent="0.3">
      <c r="A23" s="1">
        <f t="shared" si="1"/>
        <v>20</v>
      </c>
      <c r="B23" s="1">
        <v>25011001024</v>
      </c>
      <c r="C23" s="1" t="s">
        <v>22</v>
      </c>
      <c r="D23" s="21">
        <f>_xlfn.XLOOKUP(B23,'ESE 2-1 Attendance'!$B$4:$B$44,'ESE 2-1 Attendance'!$E$4:$E$44)</f>
        <v>6</v>
      </c>
      <c r="E23" s="21">
        <f>_xlfn.XLOOKUP(B23,Assignment!$B$4:$B$44,Assignment!$G$4:$G$44)</f>
        <v>2.25</v>
      </c>
      <c r="F23" s="21">
        <f>_xlfn.XLOOKUP(B23,'Class Test'!$B$4:$B$44,'Class Test'!$D$4:$D$44)</f>
        <v>0</v>
      </c>
      <c r="G23" s="23">
        <f t="shared" si="0"/>
        <v>8.5</v>
      </c>
    </row>
    <row r="24" spans="1:7" x14ac:dyDescent="0.3">
      <c r="A24" s="1">
        <f t="shared" si="1"/>
        <v>21</v>
      </c>
      <c r="B24" s="1">
        <v>25011001025</v>
      </c>
      <c r="C24" s="1" t="s">
        <v>23</v>
      </c>
      <c r="D24" s="21">
        <f>_xlfn.XLOOKUP(B24,'ESE 2-1 Attendance'!$B$4:$B$44,'ESE 2-1 Attendance'!$E$4:$E$44)</f>
        <v>4.5</v>
      </c>
      <c r="E24" s="21">
        <f>_xlfn.XLOOKUP(B24,Assignment!$B$4:$B$44,Assignment!$G$4:$G$44)</f>
        <v>3.5</v>
      </c>
      <c r="F24" s="21">
        <f>_xlfn.XLOOKUP(B24,'Class Test'!$B$4:$B$44,'Class Test'!$D$4:$D$44)</f>
        <v>0</v>
      </c>
      <c r="G24" s="23">
        <f t="shared" si="0"/>
        <v>8</v>
      </c>
    </row>
    <row r="25" spans="1:7" x14ac:dyDescent="0.3">
      <c r="A25" s="1">
        <f t="shared" si="1"/>
        <v>22</v>
      </c>
      <c r="B25" s="1">
        <v>25011001026</v>
      </c>
      <c r="C25" s="1" t="s">
        <v>24</v>
      </c>
      <c r="D25" s="21">
        <f>_xlfn.XLOOKUP(B25,'ESE 2-1 Attendance'!$B$4:$B$44,'ESE 2-1 Attendance'!$E$4:$E$44)</f>
        <v>4.5</v>
      </c>
      <c r="E25" s="21">
        <f>_xlfn.XLOOKUP(B25,Assignment!$B$4:$B$44,Assignment!$G$4:$G$44)</f>
        <v>2.5</v>
      </c>
      <c r="F25" s="21">
        <f>_xlfn.XLOOKUP(B25,'Class Test'!$B$4:$B$44,'Class Test'!$D$4:$D$44)</f>
        <v>0</v>
      </c>
      <c r="G25" s="23">
        <f t="shared" si="0"/>
        <v>7</v>
      </c>
    </row>
    <row r="26" spans="1:7" x14ac:dyDescent="0.3">
      <c r="A26" s="1">
        <f t="shared" si="1"/>
        <v>23</v>
      </c>
      <c r="B26" s="1">
        <v>25011001027</v>
      </c>
      <c r="C26" s="1" t="s">
        <v>25</v>
      </c>
      <c r="D26" s="21">
        <f>_xlfn.XLOOKUP(B26,'ESE 2-1 Attendance'!$B$4:$B$44,'ESE 2-1 Attendance'!$E$4:$E$44)</f>
        <v>6</v>
      </c>
      <c r="E26" s="21">
        <f>_xlfn.XLOOKUP(B26,Assignment!$B$4:$B$44,Assignment!$G$4:$G$44)</f>
        <v>2.75</v>
      </c>
      <c r="F26" s="21">
        <f>_xlfn.XLOOKUP(B26,'Class Test'!$B$4:$B$44,'Class Test'!$D$4:$D$44)</f>
        <v>0</v>
      </c>
      <c r="G26" s="23">
        <f t="shared" si="0"/>
        <v>9</v>
      </c>
    </row>
    <row r="27" spans="1:7" x14ac:dyDescent="0.3">
      <c r="A27" s="1">
        <f t="shared" si="1"/>
        <v>24</v>
      </c>
      <c r="B27" s="1">
        <v>25011001028</v>
      </c>
      <c r="C27" s="1" t="s">
        <v>26</v>
      </c>
      <c r="D27" s="21">
        <f>_xlfn.XLOOKUP(B27,'ESE 2-1 Attendance'!$B$4:$B$44,'ESE 2-1 Attendance'!$E$4:$E$44)</f>
        <v>7.5</v>
      </c>
      <c r="E27" s="21">
        <f>_xlfn.XLOOKUP(B27,Assignment!$B$4:$B$44,Assignment!$G$4:$G$44)</f>
        <v>3.5</v>
      </c>
      <c r="F27" s="21">
        <f>_xlfn.XLOOKUP(B27,'Class Test'!$B$4:$B$44,'Class Test'!$D$4:$D$44)</f>
        <v>0</v>
      </c>
      <c r="G27" s="23">
        <f t="shared" si="0"/>
        <v>11</v>
      </c>
    </row>
    <row r="28" spans="1:7" x14ac:dyDescent="0.3">
      <c r="A28" s="1">
        <f t="shared" si="1"/>
        <v>25</v>
      </c>
      <c r="B28" s="1">
        <v>25011001029</v>
      </c>
      <c r="C28" s="1" t="s">
        <v>27</v>
      </c>
      <c r="D28" s="21">
        <f>_xlfn.XLOOKUP(B28,'ESE 2-1 Attendance'!$B$4:$B$44,'ESE 2-1 Attendance'!$E$4:$E$44)</f>
        <v>3</v>
      </c>
      <c r="E28" s="21">
        <f>_xlfn.XLOOKUP(B28,Assignment!$B$4:$B$44,Assignment!$G$4:$G$44)</f>
        <v>2.5</v>
      </c>
      <c r="F28" s="21">
        <f>_xlfn.XLOOKUP(B28,'Class Test'!$B$4:$B$44,'Class Test'!$D$4:$D$44)</f>
        <v>0</v>
      </c>
      <c r="G28" s="23">
        <f t="shared" si="0"/>
        <v>5.5</v>
      </c>
    </row>
    <row r="29" spans="1:7" x14ac:dyDescent="0.3">
      <c r="A29" s="1">
        <f t="shared" si="1"/>
        <v>26</v>
      </c>
      <c r="B29" s="1">
        <v>25011001030</v>
      </c>
      <c r="C29" s="1" t="s">
        <v>28</v>
      </c>
      <c r="D29" s="21">
        <f>_xlfn.XLOOKUP(B29,'ESE 2-1 Attendance'!$B$4:$B$44,'ESE 2-1 Attendance'!$E$4:$E$44)</f>
        <v>7.5</v>
      </c>
      <c r="E29" s="21">
        <f>_xlfn.XLOOKUP(B29,Assignment!$B$4:$B$44,Assignment!$G$4:$G$44)</f>
        <v>3.5</v>
      </c>
      <c r="F29" s="21">
        <f>_xlfn.XLOOKUP(B29,'Class Test'!$B$4:$B$44,'Class Test'!$D$4:$D$44)</f>
        <v>0</v>
      </c>
      <c r="G29" s="23">
        <f t="shared" si="0"/>
        <v>11</v>
      </c>
    </row>
    <row r="30" spans="1:7" x14ac:dyDescent="0.3">
      <c r="A30" s="1">
        <f t="shared" si="1"/>
        <v>27</v>
      </c>
      <c r="B30" s="1">
        <v>25011001031</v>
      </c>
      <c r="C30" s="1" t="s">
        <v>29</v>
      </c>
      <c r="D30" s="21">
        <f>_xlfn.XLOOKUP(B30,'ESE 2-1 Attendance'!$B$4:$B$44,'ESE 2-1 Attendance'!$E$4:$E$44)</f>
        <v>7.5</v>
      </c>
      <c r="E30" s="21">
        <f>_xlfn.XLOOKUP(B30,Assignment!$B$4:$B$44,Assignment!$G$4:$G$44)</f>
        <v>3</v>
      </c>
      <c r="F30" s="21">
        <f>_xlfn.XLOOKUP(B30,'Class Test'!$B$4:$B$44,'Class Test'!$D$4:$D$44)</f>
        <v>0</v>
      </c>
      <c r="G30" s="23">
        <f t="shared" si="0"/>
        <v>10.5</v>
      </c>
    </row>
    <row r="31" spans="1:7" x14ac:dyDescent="0.3">
      <c r="A31" s="1">
        <f t="shared" si="1"/>
        <v>28</v>
      </c>
      <c r="B31" s="1">
        <v>25011001032</v>
      </c>
      <c r="C31" s="1" t="s">
        <v>30</v>
      </c>
      <c r="D31" s="21">
        <f>_xlfn.XLOOKUP(B31,'ESE 2-1 Attendance'!$B$4:$B$44,'ESE 2-1 Attendance'!$E$4:$E$44)</f>
        <v>3</v>
      </c>
      <c r="E31" s="21">
        <f>_xlfn.XLOOKUP(B31,Assignment!$B$4:$B$44,Assignment!$G$4:$G$44)</f>
        <v>2.25</v>
      </c>
      <c r="F31" s="21">
        <f>_xlfn.XLOOKUP(B31,'Class Test'!$B$4:$B$44,'Class Test'!$D$4:$D$44)</f>
        <v>0</v>
      </c>
      <c r="G31" s="23">
        <f t="shared" si="0"/>
        <v>5.5</v>
      </c>
    </row>
    <row r="32" spans="1:7" x14ac:dyDescent="0.3">
      <c r="A32" s="1">
        <f t="shared" si="1"/>
        <v>29</v>
      </c>
      <c r="B32" s="1">
        <v>25011001033</v>
      </c>
      <c r="C32" s="1" t="s">
        <v>31</v>
      </c>
      <c r="D32" s="21">
        <f>_xlfn.XLOOKUP(B32,'ESE 2-1 Attendance'!$B$4:$B$44,'ESE 2-1 Attendance'!$E$4:$E$44)</f>
        <v>3</v>
      </c>
      <c r="E32" s="21">
        <f>_xlfn.XLOOKUP(B32,Assignment!$B$4:$B$44,Assignment!$G$4:$G$44)</f>
        <v>2.5</v>
      </c>
      <c r="F32" s="21">
        <f>_xlfn.XLOOKUP(B32,'Class Test'!$B$4:$B$44,'Class Test'!$D$4:$D$44)</f>
        <v>0</v>
      </c>
      <c r="G32" s="23">
        <f t="shared" si="0"/>
        <v>5.5</v>
      </c>
    </row>
    <row r="33" spans="1:7" x14ac:dyDescent="0.3">
      <c r="A33" s="1">
        <f t="shared" si="1"/>
        <v>30</v>
      </c>
      <c r="B33" s="1">
        <v>25011001034</v>
      </c>
      <c r="C33" s="1" t="s">
        <v>32</v>
      </c>
      <c r="D33" s="21">
        <f>_xlfn.XLOOKUP(B33,'ESE 2-1 Attendance'!$B$4:$B$44,'ESE 2-1 Attendance'!$E$4:$E$44)</f>
        <v>7.5</v>
      </c>
      <c r="E33" s="21">
        <f>_xlfn.XLOOKUP(B33,Assignment!$B$4:$B$44,Assignment!$G$4:$G$44)</f>
        <v>3.25</v>
      </c>
      <c r="F33" s="21">
        <f>_xlfn.XLOOKUP(B33,'Class Test'!$B$4:$B$44,'Class Test'!$D$4:$D$44)</f>
        <v>0</v>
      </c>
      <c r="G33" s="23">
        <f t="shared" si="0"/>
        <v>11</v>
      </c>
    </row>
    <row r="34" spans="1:7" x14ac:dyDescent="0.3">
      <c r="A34" s="1">
        <f t="shared" si="1"/>
        <v>31</v>
      </c>
      <c r="B34" s="1">
        <v>25011001036</v>
      </c>
      <c r="C34" s="1" t="s">
        <v>33</v>
      </c>
      <c r="D34" s="21">
        <f>_xlfn.XLOOKUP(B34,'ESE 2-1 Attendance'!$B$4:$B$44,'ESE 2-1 Attendance'!$E$4:$E$44)</f>
        <v>7.5</v>
      </c>
      <c r="E34" s="21">
        <f>_xlfn.XLOOKUP(B34,Assignment!$B$4:$B$44,Assignment!$G$4:$G$44)</f>
        <v>3.25</v>
      </c>
      <c r="F34" s="21">
        <f>_xlfn.XLOOKUP(B34,'Class Test'!$B$4:$B$44,'Class Test'!$D$4:$D$44)</f>
        <v>0</v>
      </c>
      <c r="G34" s="23">
        <f t="shared" si="0"/>
        <v>11</v>
      </c>
    </row>
    <row r="35" spans="1:7" x14ac:dyDescent="0.3">
      <c r="A35" s="1">
        <f t="shared" si="1"/>
        <v>32</v>
      </c>
      <c r="B35" s="1">
        <v>25011001037</v>
      </c>
      <c r="C35" s="1" t="s">
        <v>34</v>
      </c>
      <c r="D35" s="21">
        <f>_xlfn.XLOOKUP(B35,'ESE 2-1 Attendance'!$B$4:$B$44,'ESE 2-1 Attendance'!$E$4:$E$44)</f>
        <v>3</v>
      </c>
      <c r="E35" s="21">
        <f>_xlfn.XLOOKUP(B35,Assignment!$B$4:$B$44,Assignment!$G$4:$G$44)</f>
        <v>2.5</v>
      </c>
      <c r="F35" s="21">
        <f>_xlfn.XLOOKUP(B35,'Class Test'!$B$4:$B$44,'Class Test'!$D$4:$D$44)</f>
        <v>0</v>
      </c>
      <c r="G35" s="23">
        <f t="shared" si="0"/>
        <v>5.5</v>
      </c>
    </row>
    <row r="36" spans="1:7" x14ac:dyDescent="0.3">
      <c r="A36" s="20">
        <f t="shared" si="1"/>
        <v>33</v>
      </c>
      <c r="B36" s="20">
        <v>25011001038</v>
      </c>
      <c r="C36" s="1" t="s">
        <v>35</v>
      </c>
      <c r="D36" s="21">
        <f>_xlfn.XLOOKUP(B36,'ESE 2-1 Attendance'!$B$4:$B$44,'ESE 2-1 Attendance'!$E$4:$E$44)</f>
        <v>6</v>
      </c>
      <c r="E36" s="21">
        <f>_xlfn.XLOOKUP(B36,Assignment!$B$4:$B$44,Assignment!$G$4:$G$44)</f>
        <v>3.25</v>
      </c>
      <c r="F36" s="21">
        <f>_xlfn.XLOOKUP(B36,'Class Test'!$B$4:$B$44,'Class Test'!$D$4:$D$44)</f>
        <v>0</v>
      </c>
      <c r="G36" s="23">
        <f t="shared" si="0"/>
        <v>9.5</v>
      </c>
    </row>
    <row r="37" spans="1:7" x14ac:dyDescent="0.3">
      <c r="A37" s="1">
        <f t="shared" si="1"/>
        <v>34</v>
      </c>
      <c r="B37" s="1">
        <v>25011001039</v>
      </c>
      <c r="C37" s="1" t="s">
        <v>36</v>
      </c>
      <c r="D37" s="21">
        <f>_xlfn.XLOOKUP(B37,'ESE 2-1 Attendance'!$B$4:$B$44,'ESE 2-1 Attendance'!$E$4:$E$44)</f>
        <v>7.5</v>
      </c>
      <c r="E37" s="21">
        <f>_xlfn.XLOOKUP(B37,Assignment!$B$4:$B$44,Assignment!$G$4:$G$44)</f>
        <v>3.25</v>
      </c>
      <c r="F37" s="21">
        <f>_xlfn.XLOOKUP(B37,'Class Test'!$B$4:$B$44,'Class Test'!$D$4:$D$44)</f>
        <v>0</v>
      </c>
      <c r="G37" s="23">
        <f t="shared" si="0"/>
        <v>11</v>
      </c>
    </row>
    <row r="38" spans="1:7" x14ac:dyDescent="0.3">
      <c r="A38" s="1">
        <f t="shared" si="1"/>
        <v>35</v>
      </c>
      <c r="B38" s="1">
        <v>25011001040</v>
      </c>
      <c r="C38" s="1" t="s">
        <v>37</v>
      </c>
      <c r="D38" s="21">
        <f>_xlfn.XLOOKUP(B38,'ESE 2-1 Attendance'!$B$4:$B$44,'ESE 2-1 Attendance'!$E$4:$E$44)</f>
        <v>4.5</v>
      </c>
      <c r="E38" s="21">
        <f>_xlfn.XLOOKUP(B38,Assignment!$B$4:$B$44,Assignment!$G$4:$G$44)</f>
        <v>3</v>
      </c>
      <c r="F38" s="21">
        <f>_xlfn.XLOOKUP(B38,'Class Test'!$B$4:$B$44,'Class Test'!$D$4:$D$44)</f>
        <v>0</v>
      </c>
      <c r="G38" s="23">
        <f t="shared" si="0"/>
        <v>7.5</v>
      </c>
    </row>
    <row r="39" spans="1:7" x14ac:dyDescent="0.3">
      <c r="A39" s="1">
        <f t="shared" si="1"/>
        <v>36</v>
      </c>
      <c r="B39" s="1">
        <v>24011001007</v>
      </c>
      <c r="C39" s="1" t="s">
        <v>50</v>
      </c>
      <c r="D39" s="21">
        <f>_xlfn.XLOOKUP(B39,'ESE 2-1 Attendance'!$B$4:$B$44,'ESE 2-1 Attendance'!$E$4:$E$44)</f>
        <v>0</v>
      </c>
      <c r="E39" s="21">
        <f>_xlfn.XLOOKUP(B39,Assignment!$B$4:$B$44,Assignment!$G$4:$G$44)</f>
        <v>0</v>
      </c>
      <c r="F39" s="21">
        <f>_xlfn.XLOOKUP(B39,'Class Test'!$B$4:$B$44,'Class Test'!$D$4:$D$44)</f>
        <v>0</v>
      </c>
      <c r="G39" s="23">
        <f t="shared" si="0"/>
        <v>0</v>
      </c>
    </row>
    <row r="40" spans="1:7" x14ac:dyDescent="0.3">
      <c r="A40" s="1">
        <f t="shared" si="1"/>
        <v>37</v>
      </c>
      <c r="B40" s="1">
        <v>24011001026</v>
      </c>
      <c r="C40" s="1" t="s">
        <v>38</v>
      </c>
      <c r="D40" s="21">
        <f>_xlfn.XLOOKUP(B40,'ESE 2-1 Attendance'!$B$4:$B$44,'ESE 2-1 Attendance'!$E$4:$E$44)</f>
        <v>0</v>
      </c>
      <c r="E40" s="21">
        <f>_xlfn.XLOOKUP(B40,Assignment!$B$4:$B$44,Assignment!$G$4:$G$44)</f>
        <v>2.75</v>
      </c>
      <c r="F40" s="21">
        <f>_xlfn.XLOOKUP(B40,'Class Test'!$B$4:$B$44,'Class Test'!$D$4:$D$44)</f>
        <v>0</v>
      </c>
      <c r="G40" s="23">
        <f t="shared" si="0"/>
        <v>3</v>
      </c>
    </row>
    <row r="41" spans="1:7" x14ac:dyDescent="0.3">
      <c r="A41" s="1">
        <f t="shared" si="1"/>
        <v>38</v>
      </c>
      <c r="B41" s="1">
        <v>24011001034</v>
      </c>
      <c r="C41" s="1" t="s">
        <v>39</v>
      </c>
      <c r="D41" s="21">
        <f>_xlfn.XLOOKUP(B41,'ESE 2-1 Attendance'!$B$4:$B$44,'ESE 2-1 Attendance'!$E$4:$E$44)</f>
        <v>0</v>
      </c>
      <c r="E41" s="21">
        <f>_xlfn.XLOOKUP(B41,Assignment!$B$4:$B$44,Assignment!$G$4:$G$44)</f>
        <v>0</v>
      </c>
      <c r="F41" s="21">
        <f>_xlfn.XLOOKUP(B41,'Class Test'!$B$4:$B$44,'Class Test'!$D$4:$D$44)</f>
        <v>0</v>
      </c>
      <c r="G41" s="23">
        <f t="shared" si="0"/>
        <v>0</v>
      </c>
    </row>
    <row r="42" spans="1:7" x14ac:dyDescent="0.3">
      <c r="A42" s="1">
        <f t="shared" si="1"/>
        <v>39</v>
      </c>
      <c r="B42" s="1">
        <v>23011001003</v>
      </c>
      <c r="C42" s="1" t="s">
        <v>40</v>
      </c>
      <c r="D42" s="21">
        <f>_xlfn.XLOOKUP(B42,'ESE 2-1 Attendance'!$B$4:$B$44,'ESE 2-1 Attendance'!$E$4:$E$44)</f>
        <v>0</v>
      </c>
      <c r="E42" s="21">
        <f>_xlfn.XLOOKUP(B42,Assignment!$B$4:$B$44,Assignment!$G$4:$G$44)</f>
        <v>2.75</v>
      </c>
      <c r="F42" s="21">
        <f>_xlfn.XLOOKUP(B42,'Class Test'!$B$4:$B$44,'Class Test'!$D$4:$D$44)</f>
        <v>0</v>
      </c>
      <c r="G42" s="23">
        <f t="shared" si="0"/>
        <v>3</v>
      </c>
    </row>
    <row r="43" spans="1:7" x14ac:dyDescent="0.3">
      <c r="A43" s="1">
        <f t="shared" si="1"/>
        <v>40</v>
      </c>
      <c r="B43" s="1">
        <v>23011001016</v>
      </c>
      <c r="C43" s="1" t="s">
        <v>41</v>
      </c>
      <c r="D43" s="21">
        <f>_xlfn.XLOOKUP(B43,'ESE 2-1 Attendance'!$B$4:$B$44,'ESE 2-1 Attendance'!$E$4:$E$44)</f>
        <v>0</v>
      </c>
      <c r="E43" s="21">
        <f>_xlfn.XLOOKUP(B43,Assignment!$B$4:$B$44,Assignment!$G$4:$G$44)</f>
        <v>3.25</v>
      </c>
      <c r="F43" s="21">
        <f>_xlfn.XLOOKUP(B43,'Class Test'!$B$4:$B$44,'Class Test'!$D$4:$D$44)</f>
        <v>0</v>
      </c>
      <c r="G43" s="23">
        <f t="shared" si="0"/>
        <v>3.5</v>
      </c>
    </row>
    <row r="44" spans="1:7" x14ac:dyDescent="0.3">
      <c r="A44" s="1">
        <f t="shared" si="1"/>
        <v>41</v>
      </c>
      <c r="B44" s="1">
        <v>23011001023</v>
      </c>
      <c r="C44" s="1" t="s">
        <v>42</v>
      </c>
      <c r="D44" s="21">
        <f>_xlfn.XLOOKUP(B44,'ESE 2-1 Attendance'!$B$4:$B$44,'ESE 2-1 Attendance'!$E$4:$E$44)</f>
        <v>0</v>
      </c>
      <c r="E44" s="21">
        <f>_xlfn.XLOOKUP(B44,Assignment!$B$4:$B$44,Assignment!$G$4:$G$44)</f>
        <v>0</v>
      </c>
      <c r="F44" s="21">
        <f>_xlfn.XLOOKUP(B44,'Class Test'!$B$4:$B$44,'Class Test'!$D$4:$D$44)</f>
        <v>0</v>
      </c>
      <c r="G44" s="23">
        <f t="shared" si="0"/>
        <v>0</v>
      </c>
    </row>
  </sheetData>
  <autoFilter ref="A3:G3" xr:uid="{F1EBA74E-329D-4AC5-B37E-78AD71352384}"/>
  <mergeCells count="5">
    <mergeCell ref="A1:B1"/>
    <mergeCell ref="D1:D2"/>
    <mergeCell ref="E1:E2"/>
    <mergeCell ref="F1:F2"/>
    <mergeCell ref="G1:G2"/>
  </mergeCells>
  <printOptions horizontalCentered="1" verticalCentered="1"/>
  <pageMargins left="0.25" right="0.25" top="0.25" bottom="0.25" header="0.3" footer="0.3"/>
  <pageSetup paperSize="9" scale="65" orientation="landscape" r:id="rId1"/>
  <ignoredErrors>
    <ignoredError sqref="G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ESE 2-1 Attendance</vt:lpstr>
      <vt:lpstr>Assignment</vt:lpstr>
      <vt:lpstr>Class Test</vt:lpstr>
      <vt:lpstr>Eval.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cp:lastPrinted>2026-09-29T14:41:56Z</cp:lastPrinted>
  <dcterms:created xsi:type="dcterms:W3CDTF">2026-08-15T08:13:38Z</dcterms:created>
  <dcterms:modified xsi:type="dcterms:W3CDTF">2026-09-30T07:30:08Z</dcterms:modified>
</cp:coreProperties>
</file>